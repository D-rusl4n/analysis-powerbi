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Projetos Alura\Novo Formato Alura\Meteora Funcoes-Tabelas-dinamicas-graficos\"/>
    </mc:Choice>
  </mc:AlternateContent>
  <xr:revisionPtr revIDLastSave="0" documentId="13_ncr:1_{92DCDE7C-7DB5-4C87-AC95-C234F7C5A762}" xr6:coauthVersionLast="47" xr6:coauthVersionMax="47" xr10:uidLastSave="{00000000-0000-0000-0000-000000000000}"/>
  <bookViews>
    <workbookView xWindow="38280" yWindow="-120" windowWidth="20640" windowHeight="11760" tabRatio="801" activeTab="4" xr2:uid="{00000000-000D-0000-FFFF-FFFF00000000}"/>
  </bookViews>
  <sheets>
    <sheet name="Produtos" sheetId="1" r:id="rId1"/>
    <sheet name="Vendas" sheetId="3" r:id="rId2"/>
    <sheet name="Vendedores" sheetId="2" r:id="rId3"/>
    <sheet name="Dinamica Modelo de Dados" sheetId="10" r:id="rId4"/>
    <sheet name="Dinamica Associada" sheetId="9" r:id="rId5"/>
    <sheet name="Vendas por Vendedor" sheetId="4" r:id="rId6"/>
    <sheet name="Qtd Vendas vs Numero de Vendas" sheetId="5" r:id="rId7"/>
    <sheet name="Série Temporal" sheetId="6" r:id="rId8"/>
  </sheets>
  <definedNames>
    <definedName name="_xlchart.v2.0" hidden="1">Vendedores!$B$2:$B$11</definedName>
    <definedName name="_xlchart.v2.1" hidden="1">Vendedores!$D$1</definedName>
    <definedName name="_xlchart.v2.2" hidden="1">Vendedores!$D$2:$D$11</definedName>
    <definedName name="_xlchart.v2.3" hidden="1">Vendedores!$B$2:$B$11</definedName>
    <definedName name="_xlchart.v2.4" hidden="1">Vendedores!$D$1</definedName>
    <definedName name="_xlchart.v2.5" hidden="1">Vendedores!$D$2:$D$11</definedName>
    <definedName name="_xlchart.v2.6" hidden="1">Vendedores!$B$2:$B$11</definedName>
    <definedName name="_xlchart.v2.7" hidden="1">Vendedores!$D$1</definedName>
    <definedName name="_xlchart.v2.8" hidden="1">Vendedores!$D$2:$D$11</definedName>
    <definedName name="_xlcn.WorksheetConnection_Meteora_Ecommerce.xlsxTB_Venda1" hidden="1">TB_Venda[]</definedName>
    <definedName name="_xlcn.WorksheetConnection_Meteora_Ecommerce.xlsxTB_Vendedor1" hidden="1">TB_Vendedor[]</definedName>
    <definedName name="SegmentaçãodeDados_Região_da_Venda">#N/A</definedName>
    <definedName name="Timeline_Data_da_Venda">#N/A</definedName>
  </definedNames>
  <calcPr calcId="191029"/>
  <pivotCaches>
    <pivotCache cacheId="364" r:id="rId9"/>
    <pivotCache cacheId="428" r:id="rId10"/>
  </pivotCaches>
  <extLst>
    <ext xmlns:x14="http://schemas.microsoft.com/office/spreadsheetml/2009/9/main" uri="{876F7934-8845-4945-9796-88D515C7AA90}">
      <x14:pivotCaches>
        <pivotCache cacheId="325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365" r:id="rId13"/>
      </x15:timelineCachePivotCaches>
    </ext>
    <ext xmlns:x15="http://schemas.microsoft.com/office/spreadsheetml/2010/11/main" uri="{D0CA8CA8-9F24-4464-BF8E-62219DCF47F9}">
      <x15:timelineCacheRefs>
        <x15:timelineCacheRef r:id="rId14"/>
      </x15:timelineCacheRefs>
    </ext>
    <ext xmlns:x15="http://schemas.microsoft.com/office/spreadsheetml/2010/11/main" uri="{FCE2AD5D-F65C-4FA6-A056-5C36A1767C68}">
      <x15:dataModel>
        <x15:modelTables>
          <x15:modelTable id="TB_Venda" name="TB_Venda" connection="WorksheetConnection_Meteora_Ecommerce.xlsx!TB_Venda"/>
          <x15:modelTable id="TB_Vendedor" name="TB_Vendedor" connection="WorksheetConnection_Meteora_Ecommerce.xlsx!TB_Vendedor"/>
        </x15:modelTables>
        <x15:modelRelationships>
          <x15:modelRelationship fromTable="TB_Venda" fromColumn="Matrícula do Vendedor" toTable="TB_Vendedor" toColumn="Matrícula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_Venda" columnName="Data da Venda" columnId="Data da Venda">
                <x16:calculatedTimeColumn columnName="Data da Venda (Índice de Mês)" columnId="Data da Venda (Índice de Mês)" contentType="monthsindex" isSelected="1"/>
                <x16:calculatedTimeColumn columnName="Data da Venda (Mês)" columnId="Data da Vend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3" i="2"/>
  <c r="E7" i="2"/>
  <c r="E9" i="2"/>
  <c r="E10" i="2"/>
  <c r="E8" i="2"/>
  <c r="E11" i="2"/>
  <c r="E4" i="2"/>
  <c r="E2" i="2"/>
  <c r="D5" i="2"/>
  <c r="D6" i="2"/>
  <c r="D3" i="2"/>
  <c r="D7" i="2"/>
  <c r="D9" i="2"/>
  <c r="D10" i="2"/>
  <c r="D8" i="2"/>
  <c r="D11" i="2"/>
  <c r="D4" i="2"/>
  <c r="D2" i="2"/>
  <c r="E2" i="3"/>
  <c r="F2" i="3" s="1" a="1"/>
  <c r="F2" i="3" s="1"/>
  <c r="E3" i="3"/>
  <c r="F3" i="3" s="1" a="1"/>
  <c r="F3" i="3" s="1"/>
  <c r="E4" i="3"/>
  <c r="F4" i="3" s="1" a="1"/>
  <c r="F4" i="3" s="1"/>
  <c r="E5" i="3"/>
  <c r="F5" i="3" s="1" a="1"/>
  <c r="F5" i="3" s="1"/>
  <c r="E6" i="3"/>
  <c r="F6" i="3" s="1" a="1"/>
  <c r="F6" i="3" s="1"/>
  <c r="E7" i="3"/>
  <c r="F7" i="3" s="1" a="1"/>
  <c r="F7" i="3" s="1"/>
  <c r="E8" i="3"/>
  <c r="F8" i="3" s="1" a="1"/>
  <c r="F8" i="3" s="1"/>
  <c r="E9" i="3"/>
  <c r="F9" i="3" s="1" a="1"/>
  <c r="F9" i="3" s="1"/>
  <c r="E10" i="3"/>
  <c r="F10" i="3" s="1" a="1"/>
  <c r="F10" i="3" s="1"/>
  <c r="E11" i="3"/>
  <c r="F11" i="3" s="1" a="1"/>
  <c r="F11" i="3" s="1"/>
  <c r="E12" i="3"/>
  <c r="F12" i="3" s="1" a="1"/>
  <c r="F12" i="3" s="1"/>
  <c r="E13" i="3"/>
  <c r="F13" i="3" s="1" a="1"/>
  <c r="F13" i="3" s="1"/>
  <c r="E14" i="3"/>
  <c r="F14" i="3" s="1" a="1"/>
  <c r="F14" i="3" s="1"/>
  <c r="E15" i="3"/>
  <c r="F15" i="3" s="1" a="1"/>
  <c r="F15" i="3" s="1"/>
  <c r="E16" i="3"/>
  <c r="F16" i="3" s="1" a="1"/>
  <c r="F16" i="3" s="1"/>
  <c r="E17" i="3"/>
  <c r="F17" i="3" s="1" a="1"/>
  <c r="F17" i="3" s="1"/>
  <c r="E18" i="3"/>
  <c r="F18" i="3" s="1" a="1"/>
  <c r="F18" i="3" s="1"/>
  <c r="E19" i="3"/>
  <c r="F19" i="3" s="1" a="1"/>
  <c r="F19" i="3" s="1"/>
  <c r="E20" i="3"/>
  <c r="F20" i="3" s="1" a="1"/>
  <c r="F20" i="3" s="1"/>
  <c r="E21" i="3"/>
  <c r="F21" i="3" s="1" a="1"/>
  <c r="F21" i="3" s="1"/>
  <c r="E22" i="3"/>
  <c r="F22" i="3" s="1" a="1"/>
  <c r="F22" i="3" s="1"/>
  <c r="E23" i="3"/>
  <c r="F23" i="3" s="1" a="1"/>
  <c r="F23" i="3" s="1"/>
  <c r="E24" i="3"/>
  <c r="F24" i="3" s="1" a="1"/>
  <c r="F24" i="3" s="1"/>
  <c r="E25" i="3"/>
  <c r="F25" i="3" s="1" a="1"/>
  <c r="F25" i="3" s="1"/>
  <c r="E26" i="3"/>
  <c r="F26" i="3" s="1" a="1"/>
  <c r="F26" i="3" s="1"/>
  <c r="E27" i="3"/>
  <c r="F27" i="3" s="1" a="1"/>
  <c r="F27" i="3" s="1"/>
  <c r="E28" i="3"/>
  <c r="F28" i="3" s="1" a="1"/>
  <c r="F28" i="3" s="1"/>
  <c r="E29" i="3"/>
  <c r="F29" i="3" s="1" a="1"/>
  <c r="F29" i="3" s="1"/>
  <c r="E30" i="3"/>
  <c r="F30" i="3" s="1" a="1"/>
  <c r="F30" i="3" s="1"/>
  <c r="E31" i="3"/>
  <c r="F31" i="3" s="1" a="1"/>
  <c r="F31" i="3" s="1"/>
  <c r="E32" i="3"/>
  <c r="F32" i="3" s="1" a="1"/>
  <c r="F32" i="3" s="1"/>
  <c r="E33" i="3"/>
  <c r="F33" i="3" s="1" a="1"/>
  <c r="F33" i="3" s="1"/>
  <c r="E34" i="3"/>
  <c r="F34" i="3" s="1" a="1"/>
  <c r="F34" i="3" s="1"/>
  <c r="E35" i="3"/>
  <c r="F35" i="3" s="1" a="1"/>
  <c r="F35" i="3" s="1"/>
  <c r="E36" i="3"/>
  <c r="F36" i="3" s="1" a="1"/>
  <c r="F36" i="3" s="1"/>
  <c r="E37" i="3"/>
  <c r="F37" i="3" s="1" a="1"/>
  <c r="F37" i="3" s="1"/>
  <c r="E38" i="3"/>
  <c r="F38" i="3" s="1" a="1"/>
  <c r="F38" i="3" s="1"/>
  <c r="E39" i="3"/>
  <c r="F39" i="3" s="1" a="1"/>
  <c r="F39" i="3" s="1"/>
  <c r="E40" i="3"/>
  <c r="F40" i="3" s="1" a="1"/>
  <c r="F40" i="3" s="1"/>
  <c r="E41" i="3"/>
  <c r="F41" i="3" s="1" a="1"/>
  <c r="F41" i="3" s="1"/>
  <c r="E42" i="3"/>
  <c r="F42" i="3" s="1" a="1"/>
  <c r="F42" i="3" s="1"/>
  <c r="E43" i="3"/>
  <c r="F43" i="3" s="1" a="1"/>
  <c r="F43" i="3" s="1"/>
  <c r="E44" i="3"/>
  <c r="F44" i="3" s="1" a="1"/>
  <c r="F44" i="3" s="1"/>
  <c r="E45" i="3"/>
  <c r="F45" i="3" s="1" a="1"/>
  <c r="F45" i="3" s="1"/>
  <c r="E46" i="3"/>
  <c r="F46" i="3" s="1" a="1"/>
  <c r="F46" i="3" s="1"/>
  <c r="E47" i="3"/>
  <c r="F47" i="3" s="1" a="1"/>
  <c r="F47" i="3" s="1"/>
  <c r="E48" i="3"/>
  <c r="F48" i="3" s="1" a="1"/>
  <c r="F48" i="3" s="1"/>
  <c r="E49" i="3"/>
  <c r="F49" i="3" s="1" a="1"/>
  <c r="F49" i="3" s="1"/>
  <c r="E50" i="3"/>
  <c r="F50" i="3" s="1" a="1"/>
  <c r="F50" i="3" s="1"/>
  <c r="E51" i="3"/>
  <c r="F51" i="3" s="1" a="1"/>
  <c r="F51" i="3" s="1"/>
  <c r="E52" i="3"/>
  <c r="F52" i="3" s="1" a="1"/>
  <c r="F52" i="3" s="1"/>
  <c r="E53" i="3"/>
  <c r="F53" i="3" s="1" a="1"/>
  <c r="F53" i="3" s="1"/>
  <c r="E54" i="3"/>
  <c r="F54" i="3" s="1" a="1"/>
  <c r="F54" i="3" s="1"/>
  <c r="E55" i="3"/>
  <c r="F55" i="3" s="1" a="1"/>
  <c r="F55" i="3" s="1"/>
  <c r="E56" i="3"/>
  <c r="F56" i="3" s="1" a="1"/>
  <c r="F56" i="3" s="1"/>
  <c r="E57" i="3"/>
  <c r="F57" i="3" s="1" a="1"/>
  <c r="F57" i="3" s="1"/>
  <c r="E58" i="3"/>
  <c r="F58" i="3" s="1" a="1"/>
  <c r="F58" i="3" s="1"/>
  <c r="E59" i="3"/>
  <c r="F59" i="3" s="1" a="1"/>
  <c r="F59" i="3" s="1"/>
  <c r="E60" i="3"/>
  <c r="F60" i="3" s="1" a="1"/>
  <c r="F60" i="3" s="1"/>
  <c r="E61" i="3"/>
  <c r="F61" i="3" s="1" a="1"/>
  <c r="F61" i="3" s="1"/>
  <c r="E62" i="3"/>
  <c r="F62" i="3" s="1" a="1"/>
  <c r="F62" i="3" s="1"/>
  <c r="E63" i="3"/>
  <c r="F63" i="3" s="1" a="1"/>
  <c r="F63" i="3" s="1"/>
  <c r="E64" i="3"/>
  <c r="F64" i="3" s="1" a="1"/>
  <c r="F64" i="3" s="1"/>
  <c r="E65" i="3"/>
  <c r="F65" i="3" s="1" a="1"/>
  <c r="F65" i="3" s="1"/>
  <c r="E66" i="3"/>
  <c r="F66" i="3" s="1" a="1"/>
  <c r="F66" i="3" s="1"/>
  <c r="E67" i="3"/>
  <c r="F67" i="3" s="1" a="1"/>
  <c r="F67" i="3" s="1"/>
  <c r="E68" i="3"/>
  <c r="F68" i="3" s="1" a="1"/>
  <c r="F68" i="3" s="1"/>
  <c r="E69" i="3"/>
  <c r="F69" i="3" s="1" a="1"/>
  <c r="F69" i="3" s="1"/>
  <c r="E70" i="3"/>
  <c r="F70" i="3" s="1" a="1"/>
  <c r="F70" i="3" s="1"/>
  <c r="E71" i="3"/>
  <c r="F71" i="3" s="1" a="1"/>
  <c r="F71" i="3" s="1"/>
  <c r="E72" i="3"/>
  <c r="F72" i="3" s="1" a="1"/>
  <c r="F72" i="3" s="1"/>
  <c r="E73" i="3"/>
  <c r="F73" i="3" s="1" a="1"/>
  <c r="F73" i="3" s="1"/>
  <c r="E74" i="3"/>
  <c r="F74" i="3" s="1" a="1"/>
  <c r="F74" i="3" s="1"/>
  <c r="E75" i="3"/>
  <c r="F75" i="3" s="1" a="1"/>
  <c r="F75" i="3" s="1"/>
  <c r="E76" i="3"/>
  <c r="F76" i="3" s="1" a="1"/>
  <c r="F76" i="3" s="1"/>
  <c r="E77" i="3"/>
  <c r="F77" i="3" s="1" a="1"/>
  <c r="F77" i="3" s="1"/>
  <c r="E78" i="3"/>
  <c r="F78" i="3" s="1" a="1"/>
  <c r="F78" i="3" s="1"/>
  <c r="E79" i="3"/>
  <c r="F79" i="3" s="1" a="1"/>
  <c r="F79" i="3" s="1"/>
  <c r="E80" i="3"/>
  <c r="F80" i="3" s="1" a="1"/>
  <c r="F80" i="3" s="1"/>
  <c r="E81" i="3"/>
  <c r="F81" i="3" s="1" a="1"/>
  <c r="F81" i="3" s="1"/>
  <c r="E82" i="3"/>
  <c r="F82" i="3" s="1" a="1"/>
  <c r="F82" i="3" s="1"/>
  <c r="E83" i="3"/>
  <c r="F83" i="3" s="1" a="1"/>
  <c r="F83" i="3" s="1"/>
  <c r="E84" i="3"/>
  <c r="F84" i="3" s="1" a="1"/>
  <c r="F84" i="3" s="1"/>
  <c r="E85" i="3"/>
  <c r="F85" i="3" s="1" a="1"/>
  <c r="F85" i="3" s="1"/>
  <c r="E86" i="3"/>
  <c r="F86" i="3" s="1" a="1"/>
  <c r="F86" i="3" s="1"/>
  <c r="E87" i="3"/>
  <c r="F87" i="3" s="1" a="1"/>
  <c r="F87" i="3" s="1"/>
  <c r="E88" i="3"/>
  <c r="F88" i="3" s="1" a="1"/>
  <c r="F88" i="3" s="1"/>
  <c r="E89" i="3"/>
  <c r="F89" i="3" s="1" a="1"/>
  <c r="F89" i="3" s="1"/>
  <c r="E90" i="3"/>
  <c r="F90" i="3" s="1" a="1"/>
  <c r="F90" i="3" s="1"/>
  <c r="E91" i="3"/>
  <c r="F91" i="3" s="1" a="1"/>
  <c r="F91" i="3" s="1"/>
  <c r="E92" i="3"/>
  <c r="F92" i="3" s="1" a="1"/>
  <c r="F92" i="3" s="1"/>
  <c r="E93" i="3"/>
  <c r="F93" i="3" s="1" a="1"/>
  <c r="F93" i="3" s="1"/>
  <c r="E94" i="3"/>
  <c r="F94" i="3" s="1" a="1"/>
  <c r="F94" i="3" s="1"/>
  <c r="E95" i="3"/>
  <c r="F95" i="3" s="1" a="1"/>
  <c r="F95" i="3" s="1"/>
  <c r="E96" i="3"/>
  <c r="F96" i="3" s="1" a="1"/>
  <c r="F96" i="3" s="1"/>
  <c r="E97" i="3"/>
  <c r="F97" i="3" s="1" a="1"/>
  <c r="F97" i="3" s="1"/>
  <c r="E98" i="3"/>
  <c r="F98" i="3" s="1" a="1"/>
  <c r="F98" i="3" s="1"/>
  <c r="E99" i="3"/>
  <c r="F99" i="3" s="1" a="1"/>
  <c r="F99" i="3" s="1"/>
  <c r="E100" i="3"/>
  <c r="F100" i="3" s="1" a="1"/>
  <c r="F100" i="3" s="1"/>
  <c r="E101" i="3"/>
  <c r="F101" i="3" s="1" a="1"/>
  <c r="F101" i="3" s="1"/>
  <c r="E102" i="3"/>
  <c r="F102" i="3" s="1" a="1"/>
  <c r="F102" i="3" s="1"/>
  <c r="E103" i="3"/>
  <c r="F103" i="3" s="1" a="1"/>
  <c r="F103" i="3" s="1"/>
  <c r="E104" i="3"/>
  <c r="F104" i="3" s="1" a="1"/>
  <c r="F104" i="3" s="1"/>
  <c r="E105" i="3"/>
  <c r="F105" i="3" s="1" a="1"/>
  <c r="F105" i="3" s="1"/>
  <c r="E106" i="3"/>
  <c r="F106" i="3" s="1" a="1"/>
  <c r="F106" i="3" s="1"/>
  <c r="E107" i="3"/>
  <c r="F107" i="3" s="1" a="1"/>
  <c r="F107" i="3" s="1"/>
  <c r="E108" i="3"/>
  <c r="F108" i="3" s="1" a="1"/>
  <c r="F108" i="3" s="1"/>
  <c r="E109" i="3"/>
  <c r="F109" i="3" s="1" a="1"/>
  <c r="F109" i="3" s="1"/>
  <c r="E110" i="3"/>
  <c r="F110" i="3" s="1" a="1"/>
  <c r="F110" i="3" s="1"/>
  <c r="E111" i="3"/>
  <c r="F111" i="3" s="1" a="1"/>
  <c r="F111" i="3" s="1"/>
  <c r="E112" i="3"/>
  <c r="F112" i="3" s="1" a="1"/>
  <c r="F112" i="3" s="1"/>
  <c r="E113" i="3"/>
  <c r="F113" i="3" s="1" a="1"/>
  <c r="F113" i="3" s="1"/>
  <c r="E114" i="3"/>
  <c r="F114" i="3" s="1" a="1"/>
  <c r="F114" i="3" s="1"/>
  <c r="E115" i="3"/>
  <c r="F115" i="3" s="1" a="1"/>
  <c r="F115" i="3" s="1"/>
  <c r="E116" i="3"/>
  <c r="F116" i="3" s="1" a="1"/>
  <c r="F116" i="3" s="1"/>
  <c r="E117" i="3"/>
  <c r="F117" i="3" s="1" a="1"/>
  <c r="F117" i="3" s="1"/>
  <c r="E118" i="3"/>
  <c r="F118" i="3" s="1" a="1"/>
  <c r="F118" i="3" s="1"/>
  <c r="E119" i="3"/>
  <c r="F119" i="3" s="1" a="1"/>
  <c r="F119" i="3" s="1"/>
  <c r="E120" i="3"/>
  <c r="F120" i="3" s="1" a="1"/>
  <c r="F120" i="3" s="1"/>
  <c r="E121" i="3"/>
  <c r="F121" i="3" s="1" a="1"/>
  <c r="F121" i="3" s="1"/>
  <c r="E122" i="3"/>
  <c r="F122" i="3" s="1" a="1"/>
  <c r="F122" i="3" s="1"/>
  <c r="E123" i="3"/>
  <c r="F123" i="3" s="1" a="1"/>
  <c r="F123" i="3" s="1"/>
  <c r="E124" i="3"/>
  <c r="F124" i="3" s="1" a="1"/>
  <c r="F124" i="3" s="1"/>
  <c r="E125" i="3"/>
  <c r="F125" i="3" s="1" a="1"/>
  <c r="F125" i="3" s="1"/>
  <c r="E126" i="3"/>
  <c r="F126" i="3" s="1" a="1"/>
  <c r="F126" i="3" s="1"/>
  <c r="E127" i="3"/>
  <c r="F127" i="3" s="1" a="1"/>
  <c r="F127" i="3" s="1"/>
  <c r="E128" i="3"/>
  <c r="F128" i="3" s="1" a="1"/>
  <c r="F128" i="3" s="1"/>
  <c r="E129" i="3"/>
  <c r="F129" i="3" s="1" a="1"/>
  <c r="F129" i="3" s="1"/>
  <c r="E130" i="3"/>
  <c r="F130" i="3" s="1" a="1"/>
  <c r="F130" i="3" s="1"/>
  <c r="E131" i="3"/>
  <c r="F131" i="3" s="1" a="1"/>
  <c r="F131" i="3" s="1"/>
  <c r="E132" i="3"/>
  <c r="F132" i="3" s="1" a="1"/>
  <c r="F132" i="3" s="1"/>
  <c r="E133" i="3"/>
  <c r="F133" i="3" s="1" a="1"/>
  <c r="F133" i="3" s="1"/>
  <c r="E134" i="3"/>
  <c r="F134" i="3" s="1" a="1"/>
  <c r="F134" i="3" s="1"/>
  <c r="E135" i="3"/>
  <c r="F135" i="3" s="1" a="1"/>
  <c r="F135" i="3" s="1"/>
  <c r="E136" i="3"/>
  <c r="F136" i="3" s="1" a="1"/>
  <c r="F136" i="3" s="1"/>
  <c r="E137" i="3"/>
  <c r="F137" i="3" s="1" a="1"/>
  <c r="F137" i="3" s="1"/>
  <c r="E138" i="3"/>
  <c r="F138" i="3" s="1" a="1"/>
  <c r="F138" i="3" s="1"/>
  <c r="E139" i="3"/>
  <c r="F139" i="3" s="1" a="1"/>
  <c r="F139" i="3" s="1"/>
  <c r="E140" i="3"/>
  <c r="F140" i="3" s="1" a="1"/>
  <c r="F140" i="3" s="1"/>
  <c r="E141" i="3"/>
  <c r="F141" i="3" s="1" a="1"/>
  <c r="F141" i="3" s="1"/>
  <c r="E142" i="3"/>
  <c r="F142" i="3" s="1" a="1"/>
  <c r="F142" i="3" s="1"/>
  <c r="E143" i="3"/>
  <c r="F143" i="3" s="1" a="1"/>
  <c r="F143" i="3" s="1"/>
  <c r="E144" i="3"/>
  <c r="F144" i="3" s="1" a="1"/>
  <c r="F144" i="3" s="1"/>
  <c r="E145" i="3"/>
  <c r="F145" i="3" s="1" a="1"/>
  <c r="F145" i="3" s="1"/>
  <c r="E146" i="3"/>
  <c r="F146" i="3" s="1" a="1"/>
  <c r="F146" i="3" s="1"/>
  <c r="E147" i="3"/>
  <c r="F147" i="3" s="1" a="1"/>
  <c r="F147" i="3" s="1"/>
  <c r="E148" i="3"/>
  <c r="F148" i="3" s="1" a="1"/>
  <c r="F148" i="3" s="1"/>
  <c r="E149" i="3"/>
  <c r="F149" i="3" s="1" a="1"/>
  <c r="F149" i="3" s="1"/>
  <c r="E150" i="3"/>
  <c r="F150" i="3" s="1" a="1"/>
  <c r="F150" i="3" s="1"/>
  <c r="E151" i="3"/>
  <c r="F151" i="3" s="1" a="1"/>
  <c r="F151" i="3" s="1"/>
  <c r="E152" i="3"/>
  <c r="F152" i="3" s="1" a="1"/>
  <c r="F152" i="3" s="1"/>
  <c r="E153" i="3"/>
  <c r="F153" i="3" s="1" a="1"/>
  <c r="F153" i="3" s="1"/>
  <c r="E154" i="3"/>
  <c r="F154" i="3" s="1" a="1"/>
  <c r="F154" i="3" s="1"/>
  <c r="E155" i="3"/>
  <c r="F155" i="3" s="1" a="1"/>
  <c r="F155" i="3" s="1"/>
  <c r="E156" i="3"/>
  <c r="F156" i="3" s="1" a="1"/>
  <c r="F156" i="3" s="1"/>
  <c r="E157" i="3"/>
  <c r="F157" i="3" s="1" a="1"/>
  <c r="F157" i="3" s="1"/>
  <c r="E158" i="3"/>
  <c r="F158" i="3" s="1" a="1"/>
  <c r="F158" i="3" s="1"/>
  <c r="E159" i="3"/>
  <c r="F159" i="3" s="1" a="1"/>
  <c r="F159" i="3" s="1"/>
  <c r="E160" i="3"/>
  <c r="F160" i="3" s="1" a="1"/>
  <c r="F160" i="3" s="1"/>
  <c r="E161" i="3"/>
  <c r="F161" i="3" s="1" a="1"/>
  <c r="F161" i="3" s="1"/>
  <c r="E162" i="3"/>
  <c r="F162" i="3" s="1" a="1"/>
  <c r="F162" i="3" s="1"/>
  <c r="E163" i="3"/>
  <c r="F163" i="3" s="1" a="1"/>
  <c r="F163" i="3" s="1"/>
  <c r="E164" i="3"/>
  <c r="F164" i="3" s="1" a="1"/>
  <c r="F164" i="3" s="1"/>
  <c r="E165" i="3"/>
  <c r="F165" i="3" s="1" a="1"/>
  <c r="F165" i="3" s="1"/>
  <c r="E166" i="3"/>
  <c r="F166" i="3" s="1" a="1"/>
  <c r="F166" i="3" s="1"/>
  <c r="E167" i="3"/>
  <c r="F167" i="3" s="1" a="1"/>
  <c r="F167" i="3" s="1"/>
  <c r="E168" i="3"/>
  <c r="F168" i="3" s="1" a="1"/>
  <c r="F168" i="3" s="1"/>
  <c r="E169" i="3"/>
  <c r="F169" i="3" s="1" a="1"/>
  <c r="F169" i="3" s="1"/>
  <c r="E170" i="3"/>
  <c r="F170" i="3" s="1" a="1"/>
  <c r="F170" i="3" s="1"/>
  <c r="E171" i="3"/>
  <c r="F171" i="3" s="1" a="1"/>
  <c r="F171" i="3" s="1"/>
  <c r="E172" i="3"/>
  <c r="F172" i="3" s="1" a="1"/>
  <c r="F172" i="3" s="1"/>
  <c r="E173" i="3"/>
  <c r="F173" i="3" s="1" a="1"/>
  <c r="F173" i="3" s="1"/>
  <c r="E174" i="3"/>
  <c r="F174" i="3" s="1" a="1"/>
  <c r="F174" i="3" s="1"/>
  <c r="E175" i="3"/>
  <c r="F175" i="3" s="1" a="1"/>
  <c r="F175" i="3" s="1"/>
  <c r="E176" i="3"/>
  <c r="F176" i="3" s="1" a="1"/>
  <c r="F176" i="3" s="1"/>
  <c r="E177" i="3"/>
  <c r="F177" i="3" s="1" a="1"/>
  <c r="F177" i="3" s="1"/>
  <c r="E178" i="3"/>
  <c r="F178" i="3" s="1" a="1"/>
  <c r="F178" i="3" s="1"/>
  <c r="E179" i="3"/>
  <c r="F179" i="3" s="1" a="1"/>
  <c r="F179" i="3" s="1"/>
  <c r="E180" i="3"/>
  <c r="F180" i="3" s="1" a="1"/>
  <c r="F180" i="3" s="1"/>
  <c r="E181" i="3"/>
  <c r="F181" i="3" s="1" a="1"/>
  <c r="F181" i="3" s="1"/>
  <c r="E182" i="3"/>
  <c r="F182" i="3" s="1" a="1"/>
  <c r="F182" i="3" s="1"/>
  <c r="E183" i="3"/>
  <c r="F183" i="3" s="1" a="1"/>
  <c r="F183" i="3" s="1"/>
  <c r="E184" i="3"/>
  <c r="F184" i="3" s="1" a="1"/>
  <c r="F184" i="3" s="1"/>
  <c r="E185" i="3"/>
  <c r="F185" i="3" s="1" a="1"/>
  <c r="F185" i="3" s="1"/>
  <c r="E186" i="3"/>
  <c r="F186" i="3" s="1" a="1"/>
  <c r="F186" i="3" s="1"/>
  <c r="E187" i="3"/>
  <c r="F187" i="3" s="1" a="1"/>
  <c r="F187" i="3" s="1"/>
  <c r="E188" i="3"/>
  <c r="F188" i="3" s="1" a="1"/>
  <c r="F188" i="3" s="1"/>
  <c r="E189" i="3"/>
  <c r="F189" i="3" s="1" a="1"/>
  <c r="F189" i="3" s="1"/>
  <c r="E190" i="3"/>
  <c r="F190" i="3" s="1" a="1"/>
  <c r="F190" i="3" s="1"/>
  <c r="E191" i="3"/>
  <c r="F191" i="3" s="1" a="1"/>
  <c r="F191" i="3" s="1"/>
  <c r="E192" i="3"/>
  <c r="F192" i="3" s="1" a="1"/>
  <c r="F192" i="3" s="1"/>
  <c r="E193" i="3"/>
  <c r="F193" i="3" s="1" a="1"/>
  <c r="F193" i="3" s="1"/>
  <c r="E194" i="3"/>
  <c r="F194" i="3" s="1" a="1"/>
  <c r="F194" i="3" s="1"/>
  <c r="E195" i="3"/>
  <c r="F195" i="3" s="1" a="1"/>
  <c r="F195" i="3" s="1"/>
  <c r="E196" i="3"/>
  <c r="F196" i="3" s="1" a="1"/>
  <c r="F196" i="3" s="1"/>
  <c r="E197" i="3"/>
  <c r="F197" i="3" s="1" a="1"/>
  <c r="F197" i="3" s="1"/>
  <c r="E198" i="3"/>
  <c r="F198" i="3" s="1" a="1"/>
  <c r="F198" i="3" s="1"/>
  <c r="E199" i="3"/>
  <c r="F199" i="3" s="1" a="1"/>
  <c r="F199" i="3" s="1"/>
  <c r="E200" i="3"/>
  <c r="F200" i="3" s="1" a="1"/>
  <c r="F200" i="3" s="1"/>
  <c r="E201" i="3"/>
  <c r="F201" i="3" s="1" a="1"/>
  <c r="F201" i="3" s="1"/>
  <c r="E202" i="3"/>
  <c r="F202" i="3" s="1" a="1"/>
  <c r="F202" i="3" s="1"/>
  <c r="E203" i="3"/>
  <c r="F203" i="3" s="1" a="1"/>
  <c r="F203" i="3" s="1"/>
  <c r="E204" i="3"/>
  <c r="F204" i="3" s="1" a="1"/>
  <c r="F204" i="3" s="1"/>
  <c r="E205" i="3"/>
  <c r="F205" i="3" s="1" a="1"/>
  <c r="F205" i="3" s="1"/>
  <c r="E206" i="3"/>
  <c r="F206" i="3" s="1" a="1"/>
  <c r="F206" i="3" s="1"/>
  <c r="E207" i="3"/>
  <c r="F207" i="3" s="1" a="1"/>
  <c r="F207" i="3" s="1"/>
  <c r="E208" i="3"/>
  <c r="F208" i="3" s="1" a="1"/>
  <c r="F208" i="3" s="1"/>
  <c r="E209" i="3"/>
  <c r="F209" i="3" s="1" a="1"/>
  <c r="F209" i="3" s="1"/>
  <c r="E210" i="3"/>
  <c r="F210" i="3" s="1" a="1"/>
  <c r="F210" i="3" s="1"/>
  <c r="E211" i="3"/>
  <c r="F211" i="3" s="1" a="1"/>
  <c r="F211" i="3" s="1"/>
  <c r="E212" i="3"/>
  <c r="F212" i="3" s="1" a="1"/>
  <c r="F212" i="3" s="1"/>
  <c r="E213" i="3"/>
  <c r="F213" i="3" s="1" a="1"/>
  <c r="F213" i="3" s="1"/>
  <c r="E214" i="3"/>
  <c r="F214" i="3" s="1" a="1"/>
  <c r="F214" i="3" s="1"/>
  <c r="E215" i="3"/>
  <c r="F215" i="3" s="1" a="1"/>
  <c r="F215" i="3" s="1"/>
  <c r="E216" i="3"/>
  <c r="F216" i="3" s="1" a="1"/>
  <c r="F216" i="3" s="1"/>
  <c r="E217" i="3"/>
  <c r="F217" i="3" s="1" a="1"/>
  <c r="F217" i="3" s="1"/>
  <c r="E218" i="3"/>
  <c r="F218" i="3" s="1" a="1"/>
  <c r="F218" i="3" s="1"/>
  <c r="E219" i="3"/>
  <c r="F219" i="3" s="1" a="1"/>
  <c r="F219" i="3" s="1"/>
  <c r="E220" i="3"/>
  <c r="F220" i="3" s="1" a="1"/>
  <c r="F220" i="3" s="1"/>
  <c r="E221" i="3"/>
  <c r="F221" i="3" s="1" a="1"/>
  <c r="F221" i="3" s="1"/>
  <c r="E222" i="3"/>
  <c r="F222" i="3" s="1" a="1"/>
  <c r="F222" i="3" s="1"/>
  <c r="E223" i="3"/>
  <c r="F223" i="3" s="1" a="1"/>
  <c r="F223" i="3" s="1"/>
  <c r="E224" i="3"/>
  <c r="F224" i="3" s="1" a="1"/>
  <c r="F224" i="3" s="1"/>
  <c r="E225" i="3"/>
  <c r="F225" i="3" s="1" a="1"/>
  <c r="F225" i="3" s="1"/>
  <c r="E226" i="3"/>
  <c r="F226" i="3" s="1" a="1"/>
  <c r="F226" i="3" s="1"/>
  <c r="E227" i="3"/>
  <c r="F227" i="3" s="1" a="1"/>
  <c r="F227" i="3" s="1"/>
  <c r="E228" i="3"/>
  <c r="F228" i="3" s="1" a="1"/>
  <c r="F228" i="3" s="1"/>
  <c r="E229" i="3"/>
  <c r="F229" i="3" s="1" a="1"/>
  <c r="F229" i="3" s="1"/>
  <c r="E230" i="3"/>
  <c r="F230" i="3" s="1" a="1"/>
  <c r="F230" i="3" s="1"/>
  <c r="E231" i="3"/>
  <c r="F231" i="3" s="1" a="1"/>
  <c r="F231" i="3" s="1"/>
  <c r="E232" i="3"/>
  <c r="F232" i="3" s="1" a="1"/>
  <c r="F232" i="3" s="1"/>
  <c r="E233" i="3"/>
  <c r="F233" i="3" s="1" a="1"/>
  <c r="F233" i="3" s="1"/>
  <c r="E234" i="3"/>
  <c r="F234" i="3" s="1" a="1"/>
  <c r="F234" i="3" s="1"/>
  <c r="E235" i="3"/>
  <c r="F235" i="3" s="1" a="1"/>
  <c r="F235" i="3" s="1"/>
  <c r="E236" i="3"/>
  <c r="F236" i="3" s="1" a="1"/>
  <c r="F236" i="3" s="1"/>
  <c r="E237" i="3"/>
  <c r="F237" i="3" s="1" a="1"/>
  <c r="F237" i="3" s="1"/>
  <c r="E238" i="3"/>
  <c r="F238" i="3" s="1" a="1"/>
  <c r="F238" i="3" s="1"/>
  <c r="E239" i="3"/>
  <c r="F239" i="3" s="1" a="1"/>
  <c r="F239" i="3" s="1"/>
  <c r="E240" i="3"/>
  <c r="F240" i="3" s="1" a="1"/>
  <c r="F240" i="3" s="1"/>
  <c r="E241" i="3"/>
  <c r="F241" i="3" s="1" a="1"/>
  <c r="F241" i="3" s="1"/>
  <c r="E242" i="3"/>
  <c r="F242" i="3" s="1" a="1"/>
  <c r="F242" i="3" s="1"/>
  <c r="E243" i="3"/>
  <c r="F243" i="3" s="1" a="1"/>
  <c r="F243" i="3" s="1"/>
  <c r="E244" i="3"/>
  <c r="F244" i="3" s="1" a="1"/>
  <c r="F244" i="3" s="1"/>
  <c r="E245" i="3"/>
  <c r="F245" i="3" s="1" a="1"/>
  <c r="F245" i="3" s="1"/>
  <c r="E246" i="3"/>
  <c r="F246" i="3" s="1" a="1"/>
  <c r="F246" i="3" s="1"/>
  <c r="E247" i="3"/>
  <c r="F247" i="3" s="1" a="1"/>
  <c r="F247" i="3" s="1"/>
  <c r="E248" i="3"/>
  <c r="F248" i="3" s="1" a="1"/>
  <c r="F248" i="3" s="1"/>
  <c r="E249" i="3"/>
  <c r="F249" i="3" s="1" a="1"/>
  <c r="F249" i="3" s="1"/>
  <c r="E250" i="3"/>
  <c r="F250" i="3" s="1" a="1"/>
  <c r="F250" i="3" s="1"/>
  <c r="E251" i="3"/>
  <c r="F251" i="3" s="1" a="1"/>
  <c r="F251" i="3" s="1"/>
  <c r="E252" i="3"/>
  <c r="F252" i="3" s="1" a="1"/>
  <c r="F252" i="3" s="1"/>
  <c r="E253" i="3"/>
  <c r="F253" i="3" s="1" a="1"/>
  <c r="F253" i="3" s="1"/>
  <c r="E254" i="3"/>
  <c r="F254" i="3" s="1" a="1"/>
  <c r="F254" i="3" s="1"/>
  <c r="E255" i="3"/>
  <c r="F255" i="3" s="1" a="1"/>
  <c r="F255" i="3" s="1"/>
  <c r="E256" i="3"/>
  <c r="F256" i="3" s="1" a="1"/>
  <c r="F256" i="3" s="1"/>
  <c r="E257" i="3"/>
  <c r="F257" i="3" s="1" a="1"/>
  <c r="F257" i="3" s="1"/>
  <c r="E258" i="3"/>
  <c r="F258" i="3" s="1" a="1"/>
  <c r="F258" i="3" s="1"/>
  <c r="E259" i="3"/>
  <c r="F259" i="3" s="1" a="1"/>
  <c r="F259" i="3" s="1"/>
  <c r="E260" i="3"/>
  <c r="F260" i="3" s="1" a="1"/>
  <c r="F260" i="3" s="1"/>
  <c r="E261" i="3"/>
  <c r="F261" i="3" s="1" a="1"/>
  <c r="F261" i="3" s="1"/>
  <c r="E262" i="3"/>
  <c r="F262" i="3" s="1" a="1"/>
  <c r="F262" i="3" s="1"/>
  <c r="E263" i="3"/>
  <c r="F263" i="3" s="1" a="1"/>
  <c r="F263" i="3" s="1"/>
  <c r="E264" i="3"/>
  <c r="F264" i="3" s="1" a="1"/>
  <c r="F264" i="3" s="1"/>
  <c r="E265" i="3"/>
  <c r="F265" i="3" s="1" a="1"/>
  <c r="F265" i="3" s="1"/>
  <c r="E266" i="3"/>
  <c r="F266" i="3" s="1" a="1"/>
  <c r="F266" i="3" s="1"/>
  <c r="E267" i="3"/>
  <c r="F267" i="3" s="1" a="1"/>
  <c r="F267" i="3" s="1"/>
  <c r="E268" i="3"/>
  <c r="F268" i="3" s="1" a="1"/>
  <c r="F268" i="3" s="1"/>
  <c r="E269" i="3"/>
  <c r="F269" i="3" s="1" a="1"/>
  <c r="F269" i="3" s="1"/>
  <c r="E270" i="3"/>
  <c r="F270" i="3" s="1" a="1"/>
  <c r="F270" i="3" s="1"/>
  <c r="E271" i="3"/>
  <c r="F271" i="3" s="1" a="1"/>
  <c r="F271" i="3" s="1"/>
  <c r="E272" i="3"/>
  <c r="F272" i="3" s="1" a="1"/>
  <c r="F272" i="3" s="1"/>
  <c r="E273" i="3"/>
  <c r="F273" i="3" s="1" a="1"/>
  <c r="F273" i="3" s="1"/>
  <c r="E274" i="3"/>
  <c r="F274" i="3" s="1" a="1"/>
  <c r="F274" i="3" s="1"/>
  <c r="E275" i="3"/>
  <c r="F275" i="3" s="1" a="1"/>
  <c r="F275" i="3" s="1"/>
  <c r="E276" i="3"/>
  <c r="F276" i="3" s="1" a="1"/>
  <c r="F276" i="3" s="1"/>
  <c r="E277" i="3"/>
  <c r="F277" i="3" s="1" a="1"/>
  <c r="F277" i="3" s="1"/>
  <c r="E278" i="3"/>
  <c r="F278" i="3" s="1" a="1"/>
  <c r="F278" i="3" s="1"/>
  <c r="E279" i="3"/>
  <c r="F279" i="3" s="1" a="1"/>
  <c r="F279" i="3" s="1"/>
  <c r="E280" i="3"/>
  <c r="F280" i="3" s="1" a="1"/>
  <c r="F280" i="3" s="1"/>
  <c r="E281" i="3"/>
  <c r="F281" i="3" s="1" a="1"/>
  <c r="F281" i="3" s="1"/>
  <c r="E282" i="3"/>
  <c r="F282" i="3" s="1" a="1"/>
  <c r="F282" i="3" s="1"/>
  <c r="E283" i="3"/>
  <c r="F283" i="3" s="1" a="1"/>
  <c r="F283" i="3" s="1"/>
  <c r="E284" i="3"/>
  <c r="F284" i="3" s="1" a="1"/>
  <c r="F284" i="3" s="1"/>
  <c r="E285" i="3"/>
  <c r="F285" i="3" s="1" a="1"/>
  <c r="F285" i="3" s="1"/>
  <c r="E286" i="3"/>
  <c r="F286" i="3" s="1" a="1"/>
  <c r="F286" i="3" s="1"/>
  <c r="E287" i="3"/>
  <c r="F287" i="3" s="1" a="1"/>
  <c r="F287" i="3" s="1"/>
  <c r="E288" i="3"/>
  <c r="F288" i="3" s="1" a="1"/>
  <c r="F288" i="3" s="1"/>
  <c r="E289" i="3"/>
  <c r="F289" i="3" s="1" a="1"/>
  <c r="F289" i="3" s="1"/>
  <c r="E290" i="3"/>
  <c r="F290" i="3" s="1" a="1"/>
  <c r="F290" i="3" s="1"/>
  <c r="E291" i="3"/>
  <c r="F291" i="3" s="1" a="1"/>
  <c r="F291" i="3" s="1"/>
  <c r="E292" i="3"/>
  <c r="F292" i="3" s="1" a="1"/>
  <c r="F292" i="3" s="1"/>
  <c r="E293" i="3"/>
  <c r="F293" i="3" s="1" a="1"/>
  <c r="F293" i="3" s="1"/>
  <c r="E294" i="3"/>
  <c r="F294" i="3" s="1" a="1"/>
  <c r="F294" i="3" s="1"/>
  <c r="E295" i="3"/>
  <c r="F295" i="3" s="1" a="1"/>
  <c r="F295" i="3" s="1"/>
  <c r="E296" i="3"/>
  <c r="F296" i="3" s="1" a="1"/>
  <c r="F296" i="3" s="1"/>
  <c r="E297" i="3"/>
  <c r="F297" i="3" s="1" a="1"/>
  <c r="F297" i="3" s="1"/>
  <c r="E298" i="3"/>
  <c r="F298" i="3" s="1" a="1"/>
  <c r="F298" i="3" s="1"/>
  <c r="E299" i="3"/>
  <c r="F299" i="3" s="1" a="1"/>
  <c r="F299" i="3" s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F6" i="2" l="1"/>
  <c r="F9" i="2"/>
  <c r="F2" i="2"/>
  <c r="F4" i="2"/>
  <c r="F3" i="2"/>
  <c r="F11" i="2"/>
  <c r="F7" i="2"/>
  <c r="F5" i="2"/>
  <c r="F8" i="2"/>
  <c r="F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A4402A-DD75-4E3A-8470-872945B4D03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58ACE7E-4D0A-4826-8D1D-CDC489278F03}" name="WorksheetConnection_Meteora_Ecommerce.xlsx!TB_Venda" type="102" refreshedVersion="8" minRefreshableVersion="5">
    <extLst>
      <ext xmlns:x15="http://schemas.microsoft.com/office/spreadsheetml/2010/11/main" uri="{DE250136-89BD-433C-8126-D09CA5730AF9}">
        <x15:connection id="TB_Venda" autoDelete="1">
          <x15:rangePr sourceName="_xlcn.WorksheetConnection_Meteora_Ecommerce.xlsxTB_Venda1"/>
        </x15:connection>
      </ext>
    </extLst>
  </connection>
  <connection id="3" xr16:uid="{1634C72D-9AD9-4203-9FFD-1BAC3C605CF4}" name="WorksheetConnection_Meteora_Ecommerce.xlsx!TB_Vendedor" type="102" refreshedVersion="8" minRefreshableVersion="5">
    <extLst>
      <ext xmlns:x15="http://schemas.microsoft.com/office/spreadsheetml/2010/11/main" uri="{DE250136-89BD-433C-8126-D09CA5730AF9}">
        <x15:connection id="TB_Vendedor" autoDelete="1">
          <x15:rangePr sourceName="_xlcn.WorksheetConnection_Meteora_Ecommerce.xlsxTB_Vendedor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<sst xmlns="http://schemas.openxmlformats.org/spreadsheetml/2006/main" count="1345" uniqueCount="410">
  <si>
    <t>Código</t>
  </si>
  <si>
    <t>Nome do Produto</t>
  </si>
  <si>
    <t>Categoria</t>
  </si>
  <si>
    <t>Preço Unitário (R$)</t>
  </si>
  <si>
    <t>Em Estoque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</si>
  <si>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</si>
  <si>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</si>
  <si>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</si>
  <si>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</si>
  <si>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</si>
  <si>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</si>
  <si>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</si>
  <si>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</si>
  <si>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</si>
  <si>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</si>
  <si>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</si>
  <si>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</si>
  <si>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</si>
  <si>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</si>
  <si>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</si>
  <si>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</si>
  <si>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</si>
  <si>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</si>
  <si>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</si>
  <si>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</si>
  <si>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</si>
  <si>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</si>
  <si>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</si>
  <si>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</si>
  <si>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</si>
  <si>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</si>
  <si>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</si>
  <si>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</si>
  <si>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</si>
  <si>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</si>
  <si>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Tênis Esportivo</t>
  </si>
  <si>
    <t>Camisa Polo</t>
  </si>
  <si>
    <t>Blusa de Frio</t>
  </si>
  <si>
    <t>Sandália Casual</t>
  </si>
  <si>
    <t>Vestido Longo</t>
  </si>
  <si>
    <t>Jaqueta Jeans</t>
  </si>
  <si>
    <t>Sapatênis</t>
  </si>
  <si>
    <t>Calça Jeans Masculina</t>
  </si>
  <si>
    <t>Saia Midi</t>
  </si>
  <si>
    <t>Camiseta Básica</t>
  </si>
  <si>
    <t>Bota Feminina</t>
  </si>
  <si>
    <t>Shorts Jeans</t>
  </si>
  <si>
    <t>Tênis Casual</t>
  </si>
  <si>
    <t>Camisa Social</t>
  </si>
  <si>
    <t>Macacão</t>
  </si>
  <si>
    <t>Regata Masculina</t>
  </si>
  <si>
    <t>Blazer Feminino</t>
  </si>
  <si>
    <t>Mule Feminino</t>
  </si>
  <si>
    <t>Moletom Unissex</t>
  </si>
  <si>
    <t>Camiseta Estampada</t>
  </si>
  <si>
    <t>Jaqueta Corta-Vento</t>
  </si>
  <si>
    <t>Sandália Rasteira</t>
  </si>
  <si>
    <t>Top Fitness</t>
  </si>
  <si>
    <t>Legging Esportiva</t>
  </si>
  <si>
    <t>Camisa de Time</t>
  </si>
  <si>
    <t>Tênis Corrida</t>
  </si>
  <si>
    <t>Sapato Social</t>
  </si>
  <si>
    <t>Chinelo Slide</t>
  </si>
  <si>
    <t>Camisa de Linho</t>
  </si>
  <si>
    <t>Vestido Estampado</t>
  </si>
  <si>
    <t>Calçados</t>
  </si>
  <si>
    <t>Roupas Masculinas</t>
  </si>
  <si>
    <t>Roupas Femininas</t>
  </si>
  <si>
    <t>Roupas Unissex</t>
  </si>
  <si>
    <t>Matrícula</t>
  </si>
  <si>
    <t>Nome do Vendedor</t>
  </si>
  <si>
    <t>Região</t>
  </si>
  <si>
    <t>V000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</si>
  <si>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</si>
  <si>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</si>
  <si>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</si>
  <si>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</si>
  <si>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</si>
  <si>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</si>
  <si>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</si>
  <si>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</si>
  <si>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</si>
  <si>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Mariana Oliveira</t>
  </si>
  <si>
    <t>Carlos Souza</t>
  </si>
  <si>
    <t>Fernanda Lima</t>
  </si>
  <si>
    <t>João Pedro</t>
  </si>
  <si>
    <t>Ana Beatriz</t>
  </si>
  <si>
    <t>Lucas Rocha</t>
  </si>
  <si>
    <t>Camila Duarte</t>
  </si>
  <si>
    <t>Rafael Martins</t>
  </si>
  <si>
    <t>Juliana Costa</t>
  </si>
  <si>
    <t>Bruno Fernandes</t>
  </si>
  <si>
    <t>Sudeste</t>
  </si>
  <si>
    <t>Centro-Oeste</t>
  </si>
  <si>
    <t>Nordeste</t>
  </si>
  <si>
    <t>Sul</t>
  </si>
  <si>
    <t>Norte</t>
  </si>
  <si>
    <t>Número NF</t>
  </si>
  <si>
    <t>Data da Venda</t>
  </si>
  <si>
    <t>Código do Produto</t>
  </si>
  <si>
    <t>Matrícula do Vendedor</t>
  </si>
  <si>
    <t>Quantidade Vendida</t>
  </si>
  <si>
    <t>Região da Venda</t>
  </si>
  <si>
    <t>NF793551</t>
  </si>
  <si>
    <t>NF255472</t>
  </si>
  <si>
    <t>NF949846</t>
  </si>
  <si>
    <t>NF813047</t>
  </si>
  <si>
    <t>NF311157</t>
  </si>
  <si>
    <t>NF185888</t>
  </si>
  <si>
    <t>NF772239</t>
  </si>
  <si>
    <t>NF729826</t>
  </si>
  <si>
    <t>NF283043</t>
  </si>
  <si>
    <t>NF129185</t>
  </si>
  <si>
    <t>NF655115</t>
  </si>
  <si>
    <t>NF972546</t>
  </si>
  <si>
    <t>NF544649</t>
  </si>
  <si>
    <t>NF943785</t>
  </si>
  <si>
    <t>NF707343</t>
  </si>
  <si>
    <t>NF550585</t>
  </si>
  <si>
    <t>NF499089</t>
  </si>
  <si>
    <t>NF238166</t>
  </si>
  <si>
    <t>NF628651</t>
  </si>
  <si>
    <t>NF122574</t>
  </si>
  <si>
    <t>NF298918</t>
  </si>
  <si>
    <t>NF336973</t>
  </si>
  <si>
    <t>NF462429</t>
  </si>
  <si>
    <t>NF982171</t>
  </si>
  <si>
    <t>NF803103</t>
  </si>
  <si>
    <t>NF806043</t>
  </si>
  <si>
    <t>NF495665</t>
  </si>
  <si>
    <t>NF708068</t>
  </si>
  <si>
    <t>NF945563</t>
  </si>
  <si>
    <t>NF282224</t>
  </si>
  <si>
    <t>NF656927</t>
  </si>
  <si>
    <t>NF500182</t>
  </si>
  <si>
    <t>NF467813</t>
  </si>
  <si>
    <t>NF961900</t>
  </si>
  <si>
    <t>NF746323</t>
  </si>
  <si>
    <t>NF883246</t>
  </si>
  <si>
    <t>NF911813</t>
  </si>
  <si>
    <t>NF195421</t>
  </si>
  <si>
    <t>NF113757</t>
  </si>
  <si>
    <t>NF264703</t>
  </si>
  <si>
    <t>NF199303</t>
  </si>
  <si>
    <t>NF116098</t>
  </si>
  <si>
    <t>NF638404</t>
  </si>
  <si>
    <t>NF639664</t>
  </si>
  <si>
    <t>NF172604</t>
  </si>
  <si>
    <t>NF741244</t>
  </si>
  <si>
    <t>NF156485</t>
  </si>
  <si>
    <t>NF403010</t>
  </si>
  <si>
    <t>NF579005</t>
  </si>
  <si>
    <t>NF158667</t>
  </si>
  <si>
    <t>NF507355</t>
  </si>
  <si>
    <t>NF691342</t>
  </si>
  <si>
    <t>NF781795</t>
  </si>
  <si>
    <t>NF300366</t>
  </si>
  <si>
    <t>NF492579</t>
  </si>
  <si>
    <t>NF541656</t>
  </si>
  <si>
    <t>NF695922</t>
  </si>
  <si>
    <t>NF346522</t>
  </si>
  <si>
    <t>NF871788</t>
  </si>
  <si>
    <t>NF165033</t>
  </si>
  <si>
    <t>NF311592</t>
  </si>
  <si>
    <t>NF826638</t>
  </si>
  <si>
    <t>NF579013</t>
  </si>
  <si>
    <t>NF962430</t>
  </si>
  <si>
    <t>NF538082</t>
  </si>
  <si>
    <t>NF141936</t>
  </si>
  <si>
    <t>NF678175</t>
  </si>
  <si>
    <t>NF585118</t>
  </si>
  <si>
    <t>NF887213</t>
  </si>
  <si>
    <t>NF240096</t>
  </si>
  <si>
    <t>NF698062</t>
  </si>
  <si>
    <t>NF932061</t>
  </si>
  <si>
    <t>NF334063</t>
  </si>
  <si>
    <t>NF322820</t>
  </si>
  <si>
    <t>NF216624</t>
  </si>
  <si>
    <t>NF413998</t>
  </si>
  <si>
    <t>NF528976</t>
  </si>
  <si>
    <t>NF851686</t>
  </si>
  <si>
    <t>NF757514</t>
  </si>
  <si>
    <t>NF396958</t>
  </si>
  <si>
    <t>NF811320</t>
  </si>
  <si>
    <t>NF944188</t>
  </si>
  <si>
    <t>NF952146</t>
  </si>
  <si>
    <t>NF951444</t>
  </si>
  <si>
    <t>NF210475</t>
  </si>
  <si>
    <t>NF383099</t>
  </si>
  <si>
    <t>NF706942</t>
  </si>
  <si>
    <t>NF832973</t>
  </si>
  <si>
    <t>NF419345</t>
  </si>
  <si>
    <t>NF424886</t>
  </si>
  <si>
    <t>NF133418</t>
  </si>
  <si>
    <t>NF146440</t>
  </si>
  <si>
    <t>NF152575</t>
  </si>
  <si>
    <t>NF918975</t>
  </si>
  <si>
    <t>NF628572</t>
  </si>
  <si>
    <t>NF904919</t>
  </si>
  <si>
    <t>NF263213</t>
  </si>
  <si>
    <t>NF346254</t>
  </si>
  <si>
    <t>NF609745</t>
  </si>
  <si>
    <t>NF551177</t>
  </si>
  <si>
    <t>NF984906</t>
  </si>
  <si>
    <t>NF992133</t>
  </si>
  <si>
    <t>NF409067</t>
  </si>
  <si>
    <t>NF786826</t>
  </si>
  <si>
    <t>NF509809</t>
  </si>
  <si>
    <t>NF956113</t>
  </si>
  <si>
    <t>NF504089</t>
  </si>
  <si>
    <t>NF145464</t>
  </si>
  <si>
    <t>NF905655</t>
  </si>
  <si>
    <t>NF324748</t>
  </si>
  <si>
    <t>NF429730</t>
  </si>
  <si>
    <t>NF697573</t>
  </si>
  <si>
    <t>NF343213</t>
  </si>
  <si>
    <t>NF108661</t>
  </si>
  <si>
    <t>NF868268</t>
  </si>
  <si>
    <t>NF516269</t>
  </si>
  <si>
    <t>NF174294</t>
  </si>
  <si>
    <t>NF375924</t>
  </si>
  <si>
    <t>NF577545</t>
  </si>
  <si>
    <t>NF199445</t>
  </si>
  <si>
    <t>NF341722</t>
  </si>
  <si>
    <t>NF205359</t>
  </si>
  <si>
    <t>NF264682</t>
  </si>
  <si>
    <t>NF254731</t>
  </si>
  <si>
    <t>NF478489</t>
  </si>
  <si>
    <t>NF318555</t>
  </si>
  <si>
    <t>NF722806</t>
  </si>
  <si>
    <t>NF762646</t>
  </si>
  <si>
    <t>NF710524</t>
  </si>
  <si>
    <t>NF659959</t>
  </si>
  <si>
    <t>NF176530</t>
  </si>
  <si>
    <t>NF479729</t>
  </si>
  <si>
    <t>NF767622</t>
  </si>
  <si>
    <t>NF681062</t>
  </si>
  <si>
    <t>NF941050</t>
  </si>
  <si>
    <t>NF364166</t>
  </si>
  <si>
    <t>NF385860</t>
  </si>
  <si>
    <t>NF327753</t>
  </si>
  <si>
    <t>NF916957</t>
  </si>
  <si>
    <t>NF829488</t>
  </si>
  <si>
    <t>NF276796</t>
  </si>
  <si>
    <t>NF262564</t>
  </si>
  <si>
    <t>NF263550</t>
  </si>
  <si>
    <t>NF848436</t>
  </si>
  <si>
    <t>NF729415</t>
  </si>
  <si>
    <t>NF860749</t>
  </si>
  <si>
    <t>NF479012</t>
  </si>
  <si>
    <t>NF274819</t>
  </si>
  <si>
    <t>NF870292</t>
  </si>
  <si>
    <t>NF391665</t>
  </si>
  <si>
    <t>NF584077</t>
  </si>
  <si>
    <t>NF920529</t>
  </si>
  <si>
    <t>NF636212</t>
  </si>
  <si>
    <t>NF584258</t>
  </si>
  <si>
    <t>NF610861</t>
  </si>
  <si>
    <t>NF578999</t>
  </si>
  <si>
    <t>NF329946</t>
  </si>
  <si>
    <t>NF750607</t>
  </si>
  <si>
    <t>NF884399</t>
  </si>
  <si>
    <t>NF525885</t>
  </si>
  <si>
    <t>NF664598</t>
  </si>
  <si>
    <t>NF366559</t>
  </si>
  <si>
    <t>NF163800</t>
  </si>
  <si>
    <t>NF323765</t>
  </si>
  <si>
    <t>NF703959</t>
  </si>
  <si>
    <t>NF755369</t>
  </si>
  <si>
    <t>NF904222</t>
  </si>
  <si>
    <t>NF568788</t>
  </si>
  <si>
    <t>NF357127</t>
  </si>
  <si>
    <t>NF512758</t>
  </si>
  <si>
    <t>NF862912</t>
  </si>
  <si>
    <t>NF811080</t>
  </si>
  <si>
    <t>NF915555</t>
  </si>
  <si>
    <t>NF827304</t>
  </si>
  <si>
    <t>NF752177</t>
  </si>
  <si>
    <t>NF989539</t>
  </si>
  <si>
    <t>NF730708</t>
  </si>
  <si>
    <t>NF861234</t>
  </si>
  <si>
    <t>NF567999</t>
  </si>
  <si>
    <t>NF620646</t>
  </si>
  <si>
    <t>NF406596</t>
  </si>
  <si>
    <t>NF522502</t>
  </si>
  <si>
    <t>NF325300</t>
  </si>
  <si>
    <t>NF348988</t>
  </si>
  <si>
    <t>NF823325</t>
  </si>
  <si>
    <t>NF588524</t>
  </si>
  <si>
    <t>NF106648</t>
  </si>
  <si>
    <t>NF466994</t>
  </si>
  <si>
    <t>NF899634</t>
  </si>
  <si>
    <t>NF810646</t>
  </si>
  <si>
    <t>NF885648</t>
  </si>
  <si>
    <t>NF724752</t>
  </si>
  <si>
    <t>NF170646</t>
  </si>
  <si>
    <t>NF380588</t>
  </si>
  <si>
    <t>NF338345</t>
  </si>
  <si>
    <t>NF806220</t>
  </si>
  <si>
    <t>NF797861</t>
  </si>
  <si>
    <t>NF997453</t>
  </si>
  <si>
    <t>NF196593</t>
  </si>
  <si>
    <t>NF999435</t>
  </si>
  <si>
    <t>NF397430</t>
  </si>
  <si>
    <t>NF648141</t>
  </si>
  <si>
    <t>NF399247</t>
  </si>
  <si>
    <t>NF451321</t>
  </si>
  <si>
    <t>NF207535</t>
  </si>
  <si>
    <t>NF984563</t>
  </si>
  <si>
    <t>NF240590</t>
  </si>
  <si>
    <t>NF247633</t>
  </si>
  <si>
    <t>NF730937</t>
  </si>
  <si>
    <t>NF475006</t>
  </si>
  <si>
    <t>NF860413</t>
  </si>
  <si>
    <t>NF538028</t>
  </si>
  <si>
    <t>NF688259</t>
  </si>
  <si>
    <t>NF604980</t>
  </si>
  <si>
    <t>NF653421</t>
  </si>
  <si>
    <t>NF948084</t>
  </si>
  <si>
    <t>NF156491</t>
  </si>
  <si>
    <t>NF680863</t>
  </si>
  <si>
    <t>NF429792</t>
  </si>
  <si>
    <t>NF431027</t>
  </si>
  <si>
    <t>NF572620</t>
  </si>
  <si>
    <t>NF362025</t>
  </si>
  <si>
    <t>NF207893</t>
  </si>
  <si>
    <t>NF463233</t>
  </si>
  <si>
    <t>NF578792</t>
  </si>
  <si>
    <t>NF211237</t>
  </si>
  <si>
    <t>NF499994</t>
  </si>
  <si>
    <t>NF951502</t>
  </si>
  <si>
    <t>NF255952</t>
  </si>
  <si>
    <t>NF960015</t>
  </si>
  <si>
    <t>NF592446</t>
  </si>
  <si>
    <t>NF858548</t>
  </si>
  <si>
    <t>NF683226</t>
  </si>
  <si>
    <t>NF243766</t>
  </si>
  <si>
    <t>NF561340</t>
  </si>
  <si>
    <t>NF175448</t>
  </si>
  <si>
    <t>NF830884</t>
  </si>
  <si>
    <t>NF563297</t>
  </si>
  <si>
    <t>NF147492</t>
  </si>
  <si>
    <t>NF865476</t>
  </si>
  <si>
    <t>NF581839</t>
  </si>
  <si>
    <t>NF337785</t>
  </si>
  <si>
    <t>NF829001</t>
  </si>
  <si>
    <t>NF188341</t>
  </si>
  <si>
    <t>NF615407</t>
  </si>
  <si>
    <t>NF882492</t>
  </si>
  <si>
    <t>NF483600</t>
  </si>
  <si>
    <t>NF181715</t>
  </si>
  <si>
    <t>NF426298</t>
  </si>
  <si>
    <t>NF288748</t>
  </si>
  <si>
    <t>NF136074</t>
  </si>
  <si>
    <t>NF767075</t>
  </si>
  <si>
    <t>NF100185</t>
  </si>
  <si>
    <t>NF743907</t>
  </si>
  <si>
    <t>NF901214</t>
  </si>
  <si>
    <t>NF227968</t>
  </si>
  <si>
    <t>NF748073</t>
  </si>
  <si>
    <t>NF533279</t>
  </si>
  <si>
    <t>NF686731</t>
  </si>
  <si>
    <t>NF606144</t>
  </si>
  <si>
    <t>NF714601</t>
  </si>
  <si>
    <t>NF203519</t>
  </si>
  <si>
    <t>NF208711</t>
  </si>
  <si>
    <t>NF455903</t>
  </si>
  <si>
    <t>NF415614</t>
  </si>
  <si>
    <t>NF676648</t>
  </si>
  <si>
    <t>NF180197</t>
  </si>
  <si>
    <t>NF779345</t>
  </si>
  <si>
    <t>NF562295</t>
  </si>
  <si>
    <t>NF437800</t>
  </si>
  <si>
    <t>NF235182</t>
  </si>
  <si>
    <t>NF652764</t>
  </si>
  <si>
    <t>NF635078</t>
  </si>
  <si>
    <t>NF601461</t>
  </si>
  <si>
    <t>NF431996</t>
  </si>
  <si>
    <t>NF284710</t>
  </si>
  <si>
    <t>NF294787</t>
  </si>
  <si>
    <t>NF815872</t>
  </si>
  <si>
    <t>NF456291</t>
  </si>
  <si>
    <t>NF989626</t>
  </si>
  <si>
    <t>NF256777</t>
  </si>
  <si>
    <t>NF505095</t>
  </si>
  <si>
    <t>NF539939</t>
  </si>
  <si>
    <t>NF234698</t>
  </si>
  <si>
    <t>NF641114</t>
  </si>
  <si>
    <t>NF370855</t>
  </si>
  <si>
    <t>NF644756</t>
  </si>
  <si>
    <t>NF533475</t>
  </si>
  <si>
    <t>NF619892</t>
  </si>
  <si>
    <t>NF575587</t>
  </si>
  <si>
    <t>NF391382</t>
  </si>
  <si>
    <t>NF617628</t>
  </si>
  <si>
    <t>NF644837</t>
  </si>
  <si>
    <t>NF929982</t>
  </si>
  <si>
    <t>NF475147</t>
  </si>
  <si>
    <t>NF315689</t>
  </si>
  <si>
    <t>NF666623</t>
  </si>
  <si>
    <t>NF814913</t>
  </si>
  <si>
    <t>Preço Unitário de Venda (R$)</t>
  </si>
  <si>
    <t>Categoria Simplificada</t>
  </si>
  <si>
    <t>Camisaria</t>
  </si>
  <si>
    <t>Número de Vendas</t>
  </si>
  <si>
    <t>Número Vendas Calçado</t>
  </si>
  <si>
    <t>Soma de Quantidade Vendida</t>
  </si>
  <si>
    <t>Rótulos de Linha</t>
  </si>
  <si>
    <t>Total Geral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</si>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</sst>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chartsheet" Target="chartsheets/sheet2.xml"/><Relationship Id="rId12" Type="http://schemas.microsoft.com/office/2007/relationships/slicerCache" Target="slicerCaches/slicerCache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2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1/relationships/timelineCache" Target="timelineCaches/timelineCache1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[Meteora_Ecommerce.xlsx]Dinamica Modelo de Dados!Tabela dinâmica29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'Dinamica Modelo de Dados'!$B$1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'Dinamica Modelo de Dados'!$A$2:$A$3</c:f>
              <c:strCache>
                <c:ptCount val="1"/>
                <c:pt idx="0">
                  <c:v>mar</c:v>
                </c:pt>
              </c:strCache>
            </c:strRef>
          </c:cat>
          <c:val>
            <c:numRef>
              <c:f>'Dinamica Modelo de Dados'!$B$2:$B$3</c:f>
              <c:numCache>
                <c:formatCode>General</c:formatCode>
                <c:ptCount val="1"/>
                <c:pt idx="0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FD-426F-940C-ED8AA074D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673584"/>
        <c:axId val="197674544"/>
      </c:barChart>
      <c:catAx>
        <c:axId val="19767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674544"/>
        <c:crosses val="autoZero"/>
        <c:auto val="1"/>
        <c:lblAlgn val="ctr"/>
        <c:lblOffset val="100"/>
        <c:noMultiLvlLbl val="0"/>
      </c:catAx>
      <c:valAx>
        <c:axId val="1976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67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[Meteora_Ecommerce.xlsx]Dinamica Associada!Tabela dinâmica28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Soma de Qtd Vendida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'Dinamica Associada'!$B$3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'Dinamica Associada'!$A$4:$A$9</c:f>
              <c:strCache>
                <c:ptCount val="5"/>
                <c:pt idx="0">
                  <c:v>Sul</c:v>
                </c:pt>
                <c:pt idx="1">
                  <c:v>Sudeste</c:v>
                </c:pt>
                <c:pt idx="2">
                  <c:v>Norte</c:v>
                </c:pt>
                <c:pt idx="3">
                  <c:v>Nordeste</c:v>
                </c:pt>
                <c:pt idx="4">
                  <c:v>Centro-Oeste</c:v>
                </c:pt>
              </c:strCache>
            </c:strRef>
          </c:cat>
          <c:val>
            <c:numRef>
              <c:f>'Dinamica Associada'!$B$4:$B$9</c:f>
              <c:numCache>
                <c:formatCode>General</c:formatCode>
                <c:ptCount val="5"/>
                <c:pt idx="0">
                  <c:v>185</c:v>
                </c:pt>
                <c:pt idx="1">
                  <c:v>266</c:v>
                </c:pt>
                <c:pt idx="2">
                  <c:v>271</c:v>
                </c:pt>
                <c:pt idx="3">
                  <c:v>94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1-41C6-9CD2-58A5352F4C3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321483055"/>
        <c:axId val="1075927856"/>
      </c:barChart>
      <c:catAx>
        <c:axId val="1321483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5927856"/>
        <c:crosses val="autoZero"/>
        <c:auto val="1"/>
        <c:lblAlgn val="ctr"/>
        <c:lblOffset val="100"/>
        <c:noMultiLvlLbl val="0"/>
      </c:catAx>
      <c:valAx>
        <c:axId val="1075927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148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Vendedores!$D$1</c:f>
              <c:strCache>
                <c:ptCount val="1"/>
                <c:pt idx="0">
                  <c:v>Quantidade Vendida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Vendedores!$B$2:$B$11</c:f>
              <c:strCache>
                <c:ptCount val="10"/>
                <c:pt idx="0">
                  <c:v>Bruno Fernandes</c:v>
                </c:pt>
                <c:pt idx="1">
                  <c:v>Fernanda Lima</c:v>
                </c:pt>
                <c:pt idx="2">
                  <c:v>Juliana Costa</c:v>
                </c:pt>
                <c:pt idx="3">
                  <c:v>Mariana Oliveira</c:v>
                </c:pt>
                <c:pt idx="4">
                  <c:v>Carlos Souza</c:v>
                </c:pt>
                <c:pt idx="5">
                  <c:v>João Pedro</c:v>
                </c:pt>
                <c:pt idx="6">
                  <c:v>Camila Duarte</c:v>
                </c:pt>
                <c:pt idx="7">
                  <c:v>Ana Beatriz</c:v>
                </c:pt>
                <c:pt idx="8">
                  <c:v>Lucas Rocha</c:v>
                </c:pt>
                <c:pt idx="9">
                  <c:v>Rafael Martins</c:v>
                </c:pt>
              </c:strCache>
            </c:strRef>
          </c:cat>
          <c:val>
            <c:numRef>
              <c:f>Vendedores!$D$2:$D$11</c:f>
              <c:numCache>
                <c:formatCode>General</c:formatCode>
                <c:ptCount val="10"/>
                <c:pt idx="0">
                  <c:v>71</c:v>
                </c:pt>
                <c:pt idx="1">
                  <c:v>85</c:v>
                </c:pt>
                <c:pt idx="2">
                  <c:v>86</c:v>
                </c:pt>
                <c:pt idx="3">
                  <c:v>88</c:v>
                </c:pt>
                <c:pt idx="4">
                  <c:v>92</c:v>
                </c:pt>
                <c:pt idx="5">
                  <c:v>94</c:v>
                </c:pt>
                <c:pt idx="6">
                  <c:v>94</c:v>
                </c:pt>
                <c:pt idx="7">
                  <c:v>91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B-488A-A898-27595F7E5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93480912"/>
        <c:axId val="193479952"/>
      </c:barChart>
      <c:lineChart>
        <c:grouping val="standard"/>
        <c:varyColors val="0"/>
        <c:ser>
          <c:idx val="1"/>
          <c:order val="1"/>
          <c:tx>
            <c:strRef>
              <c:f>Vendedores!$E$1</c:f>
              <c:strCache>
                <c:ptCount val="1"/>
                <c:pt idx="0">
                  <c:v>Número de Vendas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Vendedores!$B$2:$B$11</c:f>
              <c:strCache>
                <c:ptCount val="10"/>
                <c:pt idx="0">
                  <c:v>Bruno Fernandes</c:v>
                </c:pt>
                <c:pt idx="1">
                  <c:v>Fernanda Lima</c:v>
                </c:pt>
                <c:pt idx="2">
                  <c:v>Juliana Costa</c:v>
                </c:pt>
                <c:pt idx="3">
                  <c:v>Mariana Oliveira</c:v>
                </c:pt>
                <c:pt idx="4">
                  <c:v>Carlos Souza</c:v>
                </c:pt>
                <c:pt idx="5">
                  <c:v>João Pedro</c:v>
                </c:pt>
                <c:pt idx="6">
                  <c:v>Camila Duarte</c:v>
                </c:pt>
                <c:pt idx="7">
                  <c:v>Ana Beatriz</c:v>
                </c:pt>
                <c:pt idx="8">
                  <c:v>Lucas Rocha</c:v>
                </c:pt>
                <c:pt idx="9">
                  <c:v>Rafael Martins</c:v>
                </c:pt>
              </c:strCache>
            </c:strRef>
          </c:cat>
          <c:val>
            <c:numRef>
              <c:f>Vendedores!$E$2:$E$11</c:f>
              <c:numCache>
                <c:formatCode>General</c:formatCode>
                <c:ptCount val="10"/>
                <c:pt idx="0">
                  <c:v>22</c:v>
                </c:pt>
                <c:pt idx="1">
                  <c:v>30</c:v>
                </c:pt>
                <c:pt idx="2">
                  <c:v>30</c:v>
                </c:pt>
                <c:pt idx="3">
                  <c:v>32</c:v>
                </c:pt>
                <c:pt idx="4">
                  <c:v>30</c:v>
                </c:pt>
                <c:pt idx="5">
                  <c:v>31</c:v>
                </c:pt>
                <c:pt idx="6">
                  <c:v>28</c:v>
                </c:pt>
                <c:pt idx="7">
                  <c:v>30</c:v>
                </c:pt>
                <c:pt idx="8">
                  <c:v>31</c:v>
                </c:pt>
                <c:pt idx="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EB-488A-A898-27595F7E5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198960"/>
        <c:axId val="1077200880"/>
      </c:lineChart>
      <c:catAx>
        <c:axId val="1934809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479952"/>
        <c:crosses val="autoZero"/>
        <c:auto val="1"/>
        <c:lblAlgn val="ctr"/>
        <c:lblOffset val="100"/>
        <c:noMultiLvlLbl val="0"/>
      </c:catAx>
      <c:valAx>
        <c:axId val="1934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480912"/>
        <c:crosses val="autoZero"/>
        <c:crossBetween val="between"/>
      </c:valAx>
      <c:valAx>
        <c:axId val="10772008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7198960"/>
        <c:crosses val="max"/>
        <c:crossBetween val="between"/>
      </c:valAx>
      <c:catAx>
        <c:axId val="1077198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7200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Vendas!$B$2:$B$299</c:f>
              <c:numCache>
                <c:formatCode>m/d/yyyy</c:formatCode>
                <c:ptCount val="298"/>
                <c:pt idx="0">
                  <c:v>45718</c:v>
                </c:pt>
                <c:pt idx="1">
                  <c:v>45732</c:v>
                </c:pt>
                <c:pt idx="2">
                  <c:v>45835</c:v>
                </c:pt>
                <c:pt idx="3">
                  <c:v>45722</c:v>
                </c:pt>
                <c:pt idx="4">
                  <c:v>45771</c:v>
                </c:pt>
                <c:pt idx="5">
                  <c:v>45680</c:v>
                </c:pt>
                <c:pt idx="6">
                  <c:v>45774</c:v>
                </c:pt>
                <c:pt idx="7">
                  <c:v>45825</c:v>
                </c:pt>
                <c:pt idx="8">
                  <c:v>45833</c:v>
                </c:pt>
                <c:pt idx="9">
                  <c:v>45729</c:v>
                </c:pt>
                <c:pt idx="10">
                  <c:v>45715</c:v>
                </c:pt>
                <c:pt idx="11">
                  <c:v>45692</c:v>
                </c:pt>
                <c:pt idx="12">
                  <c:v>45711</c:v>
                </c:pt>
                <c:pt idx="13">
                  <c:v>45688</c:v>
                </c:pt>
                <c:pt idx="14">
                  <c:v>45708</c:v>
                </c:pt>
                <c:pt idx="15">
                  <c:v>45747</c:v>
                </c:pt>
                <c:pt idx="16">
                  <c:v>45671</c:v>
                </c:pt>
                <c:pt idx="17">
                  <c:v>45812</c:v>
                </c:pt>
                <c:pt idx="18">
                  <c:v>45784</c:v>
                </c:pt>
                <c:pt idx="19">
                  <c:v>45723</c:v>
                </c:pt>
                <c:pt idx="20">
                  <c:v>45664</c:v>
                </c:pt>
                <c:pt idx="21">
                  <c:v>45735</c:v>
                </c:pt>
                <c:pt idx="22">
                  <c:v>45744</c:v>
                </c:pt>
                <c:pt idx="23">
                  <c:v>45674</c:v>
                </c:pt>
                <c:pt idx="24">
                  <c:v>45759</c:v>
                </c:pt>
                <c:pt idx="25">
                  <c:v>45698</c:v>
                </c:pt>
                <c:pt idx="26">
                  <c:v>45730</c:v>
                </c:pt>
                <c:pt idx="27">
                  <c:v>45748</c:v>
                </c:pt>
                <c:pt idx="28">
                  <c:v>45701</c:v>
                </c:pt>
                <c:pt idx="29">
                  <c:v>45701</c:v>
                </c:pt>
                <c:pt idx="30">
                  <c:v>45826</c:v>
                </c:pt>
                <c:pt idx="31">
                  <c:v>45765</c:v>
                </c:pt>
                <c:pt idx="32">
                  <c:v>45735</c:v>
                </c:pt>
                <c:pt idx="33">
                  <c:v>45738</c:v>
                </c:pt>
                <c:pt idx="34">
                  <c:v>45747</c:v>
                </c:pt>
                <c:pt idx="35">
                  <c:v>45670</c:v>
                </c:pt>
                <c:pt idx="36">
                  <c:v>45831</c:v>
                </c:pt>
                <c:pt idx="37">
                  <c:v>45814</c:v>
                </c:pt>
                <c:pt idx="38">
                  <c:v>45790</c:v>
                </c:pt>
                <c:pt idx="39">
                  <c:v>45732</c:v>
                </c:pt>
                <c:pt idx="40">
                  <c:v>45781</c:v>
                </c:pt>
                <c:pt idx="41">
                  <c:v>45735</c:v>
                </c:pt>
                <c:pt idx="42">
                  <c:v>45750</c:v>
                </c:pt>
                <c:pt idx="43">
                  <c:v>45712</c:v>
                </c:pt>
                <c:pt idx="44">
                  <c:v>45685</c:v>
                </c:pt>
                <c:pt idx="45">
                  <c:v>45672</c:v>
                </c:pt>
                <c:pt idx="46">
                  <c:v>45686</c:v>
                </c:pt>
                <c:pt idx="47">
                  <c:v>45827</c:v>
                </c:pt>
                <c:pt idx="48">
                  <c:v>45673</c:v>
                </c:pt>
                <c:pt idx="49">
                  <c:v>45695</c:v>
                </c:pt>
                <c:pt idx="50">
                  <c:v>45693</c:v>
                </c:pt>
                <c:pt idx="51">
                  <c:v>45780</c:v>
                </c:pt>
                <c:pt idx="52">
                  <c:v>45753</c:v>
                </c:pt>
                <c:pt idx="53">
                  <c:v>45822</c:v>
                </c:pt>
                <c:pt idx="54">
                  <c:v>45774</c:v>
                </c:pt>
                <c:pt idx="55">
                  <c:v>45667</c:v>
                </c:pt>
                <c:pt idx="56">
                  <c:v>45815</c:v>
                </c:pt>
                <c:pt idx="57">
                  <c:v>45674</c:v>
                </c:pt>
                <c:pt idx="58">
                  <c:v>45700</c:v>
                </c:pt>
                <c:pt idx="59">
                  <c:v>45791</c:v>
                </c:pt>
                <c:pt idx="60">
                  <c:v>45756</c:v>
                </c:pt>
                <c:pt idx="61">
                  <c:v>45721</c:v>
                </c:pt>
                <c:pt idx="62">
                  <c:v>45707</c:v>
                </c:pt>
                <c:pt idx="63">
                  <c:v>45701</c:v>
                </c:pt>
                <c:pt idx="64">
                  <c:v>45658</c:v>
                </c:pt>
                <c:pt idx="65">
                  <c:v>45761</c:v>
                </c:pt>
                <c:pt idx="66">
                  <c:v>45815</c:v>
                </c:pt>
                <c:pt idx="67">
                  <c:v>45777</c:v>
                </c:pt>
                <c:pt idx="68">
                  <c:v>45763</c:v>
                </c:pt>
                <c:pt idx="69">
                  <c:v>45716</c:v>
                </c:pt>
                <c:pt idx="70">
                  <c:v>45683</c:v>
                </c:pt>
                <c:pt idx="71">
                  <c:v>45811</c:v>
                </c:pt>
                <c:pt idx="72">
                  <c:v>45835</c:v>
                </c:pt>
                <c:pt idx="73">
                  <c:v>45793</c:v>
                </c:pt>
                <c:pt idx="74">
                  <c:v>45676</c:v>
                </c:pt>
                <c:pt idx="75">
                  <c:v>45681</c:v>
                </c:pt>
                <c:pt idx="76">
                  <c:v>45770</c:v>
                </c:pt>
                <c:pt idx="77">
                  <c:v>45724</c:v>
                </c:pt>
                <c:pt idx="78">
                  <c:v>45691</c:v>
                </c:pt>
                <c:pt idx="79">
                  <c:v>45662</c:v>
                </c:pt>
                <c:pt idx="80">
                  <c:v>45810</c:v>
                </c:pt>
                <c:pt idx="81">
                  <c:v>45732</c:v>
                </c:pt>
                <c:pt idx="82">
                  <c:v>45706</c:v>
                </c:pt>
                <c:pt idx="83">
                  <c:v>45695</c:v>
                </c:pt>
                <c:pt idx="84">
                  <c:v>45706</c:v>
                </c:pt>
                <c:pt idx="85">
                  <c:v>45681</c:v>
                </c:pt>
                <c:pt idx="86">
                  <c:v>45779</c:v>
                </c:pt>
                <c:pt idx="87">
                  <c:v>45726</c:v>
                </c:pt>
                <c:pt idx="88">
                  <c:v>45825</c:v>
                </c:pt>
                <c:pt idx="89">
                  <c:v>45755</c:v>
                </c:pt>
                <c:pt idx="90">
                  <c:v>45712</c:v>
                </c:pt>
                <c:pt idx="91">
                  <c:v>45717</c:v>
                </c:pt>
                <c:pt idx="92">
                  <c:v>45827</c:v>
                </c:pt>
                <c:pt idx="93">
                  <c:v>45767</c:v>
                </c:pt>
                <c:pt idx="94">
                  <c:v>45783</c:v>
                </c:pt>
                <c:pt idx="95">
                  <c:v>45716</c:v>
                </c:pt>
                <c:pt idx="96">
                  <c:v>45674</c:v>
                </c:pt>
                <c:pt idx="97">
                  <c:v>45746</c:v>
                </c:pt>
                <c:pt idx="98">
                  <c:v>45805</c:v>
                </c:pt>
                <c:pt idx="99">
                  <c:v>45755</c:v>
                </c:pt>
                <c:pt idx="100">
                  <c:v>45676</c:v>
                </c:pt>
                <c:pt idx="101">
                  <c:v>45676</c:v>
                </c:pt>
                <c:pt idx="102">
                  <c:v>45695</c:v>
                </c:pt>
                <c:pt idx="103">
                  <c:v>45676</c:v>
                </c:pt>
                <c:pt idx="104">
                  <c:v>45729</c:v>
                </c:pt>
                <c:pt idx="105">
                  <c:v>45679</c:v>
                </c:pt>
                <c:pt idx="106">
                  <c:v>45661</c:v>
                </c:pt>
                <c:pt idx="107">
                  <c:v>45835</c:v>
                </c:pt>
                <c:pt idx="108">
                  <c:v>45746</c:v>
                </c:pt>
                <c:pt idx="109">
                  <c:v>45746</c:v>
                </c:pt>
                <c:pt idx="110">
                  <c:v>45826</c:v>
                </c:pt>
                <c:pt idx="111">
                  <c:v>45669</c:v>
                </c:pt>
                <c:pt idx="112">
                  <c:v>45700</c:v>
                </c:pt>
                <c:pt idx="113">
                  <c:v>45770</c:v>
                </c:pt>
                <c:pt idx="114">
                  <c:v>45817</c:v>
                </c:pt>
                <c:pt idx="115">
                  <c:v>45825</c:v>
                </c:pt>
                <c:pt idx="116">
                  <c:v>45720</c:v>
                </c:pt>
                <c:pt idx="117">
                  <c:v>45740</c:v>
                </c:pt>
                <c:pt idx="118">
                  <c:v>45798</c:v>
                </c:pt>
                <c:pt idx="119">
                  <c:v>45675</c:v>
                </c:pt>
                <c:pt idx="120">
                  <c:v>45729</c:v>
                </c:pt>
                <c:pt idx="121">
                  <c:v>45801</c:v>
                </c:pt>
                <c:pt idx="122">
                  <c:v>45703</c:v>
                </c:pt>
                <c:pt idx="123">
                  <c:v>45756</c:v>
                </c:pt>
                <c:pt idx="124">
                  <c:v>45816</c:v>
                </c:pt>
                <c:pt idx="125">
                  <c:v>45779</c:v>
                </c:pt>
                <c:pt idx="126">
                  <c:v>45755</c:v>
                </c:pt>
                <c:pt idx="127">
                  <c:v>45725</c:v>
                </c:pt>
                <c:pt idx="128">
                  <c:v>45698</c:v>
                </c:pt>
                <c:pt idx="129">
                  <c:v>45723</c:v>
                </c:pt>
                <c:pt idx="130">
                  <c:v>45659</c:v>
                </c:pt>
                <c:pt idx="131">
                  <c:v>45794</c:v>
                </c:pt>
                <c:pt idx="132">
                  <c:v>45774</c:v>
                </c:pt>
                <c:pt idx="133">
                  <c:v>45773</c:v>
                </c:pt>
                <c:pt idx="134">
                  <c:v>45759</c:v>
                </c:pt>
                <c:pt idx="135">
                  <c:v>45778</c:v>
                </c:pt>
                <c:pt idx="136">
                  <c:v>45676</c:v>
                </c:pt>
                <c:pt idx="137">
                  <c:v>45685</c:v>
                </c:pt>
                <c:pt idx="138">
                  <c:v>45674</c:v>
                </c:pt>
                <c:pt idx="139">
                  <c:v>45666</c:v>
                </c:pt>
                <c:pt idx="140">
                  <c:v>45733</c:v>
                </c:pt>
                <c:pt idx="141">
                  <c:v>45744</c:v>
                </c:pt>
                <c:pt idx="142">
                  <c:v>45808</c:v>
                </c:pt>
                <c:pt idx="143">
                  <c:v>45729</c:v>
                </c:pt>
                <c:pt idx="144">
                  <c:v>45778</c:v>
                </c:pt>
                <c:pt idx="145">
                  <c:v>45810</c:v>
                </c:pt>
                <c:pt idx="146">
                  <c:v>45702</c:v>
                </c:pt>
                <c:pt idx="147">
                  <c:v>45727</c:v>
                </c:pt>
                <c:pt idx="148">
                  <c:v>45669</c:v>
                </c:pt>
                <c:pt idx="149">
                  <c:v>45700</c:v>
                </c:pt>
                <c:pt idx="150">
                  <c:v>45811</c:v>
                </c:pt>
                <c:pt idx="151">
                  <c:v>45694</c:v>
                </c:pt>
                <c:pt idx="152">
                  <c:v>45761</c:v>
                </c:pt>
                <c:pt idx="153">
                  <c:v>45732</c:v>
                </c:pt>
                <c:pt idx="154">
                  <c:v>45662</c:v>
                </c:pt>
                <c:pt idx="155">
                  <c:v>45788</c:v>
                </c:pt>
                <c:pt idx="156">
                  <c:v>45819</c:v>
                </c:pt>
                <c:pt idx="157">
                  <c:v>45764</c:v>
                </c:pt>
                <c:pt idx="158">
                  <c:v>45696</c:v>
                </c:pt>
                <c:pt idx="159">
                  <c:v>45721</c:v>
                </c:pt>
                <c:pt idx="160">
                  <c:v>45752</c:v>
                </c:pt>
                <c:pt idx="161">
                  <c:v>45800</c:v>
                </c:pt>
                <c:pt idx="162">
                  <c:v>45658</c:v>
                </c:pt>
                <c:pt idx="163">
                  <c:v>45774</c:v>
                </c:pt>
                <c:pt idx="164">
                  <c:v>45765</c:v>
                </c:pt>
                <c:pt idx="165">
                  <c:v>45799</c:v>
                </c:pt>
                <c:pt idx="166">
                  <c:v>45680</c:v>
                </c:pt>
                <c:pt idx="167">
                  <c:v>45787</c:v>
                </c:pt>
                <c:pt idx="168">
                  <c:v>45783</c:v>
                </c:pt>
                <c:pt idx="169">
                  <c:v>45741</c:v>
                </c:pt>
                <c:pt idx="170">
                  <c:v>45836</c:v>
                </c:pt>
                <c:pt idx="171">
                  <c:v>45757</c:v>
                </c:pt>
                <c:pt idx="172">
                  <c:v>45749</c:v>
                </c:pt>
                <c:pt idx="173">
                  <c:v>45735</c:v>
                </c:pt>
                <c:pt idx="174">
                  <c:v>45807</c:v>
                </c:pt>
                <c:pt idx="175">
                  <c:v>45746</c:v>
                </c:pt>
                <c:pt idx="176">
                  <c:v>45776</c:v>
                </c:pt>
                <c:pt idx="177">
                  <c:v>45708</c:v>
                </c:pt>
                <c:pt idx="178">
                  <c:v>45825</c:v>
                </c:pt>
                <c:pt idx="179">
                  <c:v>45778</c:v>
                </c:pt>
                <c:pt idx="180">
                  <c:v>45675</c:v>
                </c:pt>
                <c:pt idx="181">
                  <c:v>45835</c:v>
                </c:pt>
                <c:pt idx="182">
                  <c:v>45818</c:v>
                </c:pt>
                <c:pt idx="183">
                  <c:v>45701</c:v>
                </c:pt>
                <c:pt idx="184">
                  <c:v>45821</c:v>
                </c:pt>
                <c:pt idx="185">
                  <c:v>45724</c:v>
                </c:pt>
                <c:pt idx="186">
                  <c:v>45787</c:v>
                </c:pt>
                <c:pt idx="187">
                  <c:v>45819</c:v>
                </c:pt>
                <c:pt idx="188">
                  <c:v>45752</c:v>
                </c:pt>
                <c:pt idx="189">
                  <c:v>45709</c:v>
                </c:pt>
                <c:pt idx="190">
                  <c:v>45736</c:v>
                </c:pt>
                <c:pt idx="191">
                  <c:v>45678</c:v>
                </c:pt>
                <c:pt idx="192">
                  <c:v>45796</c:v>
                </c:pt>
                <c:pt idx="193">
                  <c:v>45732</c:v>
                </c:pt>
                <c:pt idx="194">
                  <c:v>45698</c:v>
                </c:pt>
                <c:pt idx="195">
                  <c:v>45825</c:v>
                </c:pt>
                <c:pt idx="196">
                  <c:v>45802</c:v>
                </c:pt>
                <c:pt idx="197">
                  <c:v>45771</c:v>
                </c:pt>
                <c:pt idx="198">
                  <c:v>45770</c:v>
                </c:pt>
                <c:pt idx="199">
                  <c:v>45681</c:v>
                </c:pt>
                <c:pt idx="200">
                  <c:v>45745</c:v>
                </c:pt>
                <c:pt idx="201">
                  <c:v>45731</c:v>
                </c:pt>
                <c:pt idx="202">
                  <c:v>45719</c:v>
                </c:pt>
                <c:pt idx="203">
                  <c:v>45731</c:v>
                </c:pt>
                <c:pt idx="204">
                  <c:v>45713</c:v>
                </c:pt>
                <c:pt idx="205">
                  <c:v>45661</c:v>
                </c:pt>
                <c:pt idx="206">
                  <c:v>45764</c:v>
                </c:pt>
                <c:pt idx="207">
                  <c:v>45740</c:v>
                </c:pt>
                <c:pt idx="208">
                  <c:v>45836</c:v>
                </c:pt>
                <c:pt idx="209">
                  <c:v>45829</c:v>
                </c:pt>
                <c:pt idx="210">
                  <c:v>45774</c:v>
                </c:pt>
                <c:pt idx="211">
                  <c:v>45739</c:v>
                </c:pt>
                <c:pt idx="212">
                  <c:v>45694</c:v>
                </c:pt>
                <c:pt idx="213">
                  <c:v>45816</c:v>
                </c:pt>
                <c:pt idx="214">
                  <c:v>45798</c:v>
                </c:pt>
                <c:pt idx="215">
                  <c:v>45803</c:v>
                </c:pt>
                <c:pt idx="216">
                  <c:v>45787</c:v>
                </c:pt>
                <c:pt idx="217">
                  <c:v>45784</c:v>
                </c:pt>
                <c:pt idx="218">
                  <c:v>45745</c:v>
                </c:pt>
                <c:pt idx="219">
                  <c:v>45715</c:v>
                </c:pt>
                <c:pt idx="220">
                  <c:v>45777</c:v>
                </c:pt>
                <c:pt idx="221">
                  <c:v>45791</c:v>
                </c:pt>
                <c:pt idx="222">
                  <c:v>45660</c:v>
                </c:pt>
                <c:pt idx="223">
                  <c:v>45826</c:v>
                </c:pt>
                <c:pt idx="224">
                  <c:v>45671</c:v>
                </c:pt>
                <c:pt idx="225">
                  <c:v>45827</c:v>
                </c:pt>
                <c:pt idx="226">
                  <c:v>45732</c:v>
                </c:pt>
                <c:pt idx="227">
                  <c:v>45830</c:v>
                </c:pt>
                <c:pt idx="228">
                  <c:v>45707</c:v>
                </c:pt>
                <c:pt idx="229">
                  <c:v>45743</c:v>
                </c:pt>
                <c:pt idx="230">
                  <c:v>45686</c:v>
                </c:pt>
                <c:pt idx="231">
                  <c:v>45752</c:v>
                </c:pt>
                <c:pt idx="232">
                  <c:v>45797</c:v>
                </c:pt>
                <c:pt idx="233">
                  <c:v>45755</c:v>
                </c:pt>
                <c:pt idx="234">
                  <c:v>45681</c:v>
                </c:pt>
                <c:pt idx="235">
                  <c:v>45770</c:v>
                </c:pt>
                <c:pt idx="236">
                  <c:v>45659</c:v>
                </c:pt>
                <c:pt idx="237">
                  <c:v>45706</c:v>
                </c:pt>
                <c:pt idx="238">
                  <c:v>45693</c:v>
                </c:pt>
                <c:pt idx="239">
                  <c:v>45666</c:v>
                </c:pt>
                <c:pt idx="240">
                  <c:v>45714</c:v>
                </c:pt>
                <c:pt idx="241">
                  <c:v>45813</c:v>
                </c:pt>
                <c:pt idx="242">
                  <c:v>45754</c:v>
                </c:pt>
                <c:pt idx="243">
                  <c:v>45741</c:v>
                </c:pt>
                <c:pt idx="244">
                  <c:v>45807</c:v>
                </c:pt>
                <c:pt idx="245">
                  <c:v>45816</c:v>
                </c:pt>
                <c:pt idx="246">
                  <c:v>45736</c:v>
                </c:pt>
                <c:pt idx="247">
                  <c:v>45762</c:v>
                </c:pt>
                <c:pt idx="248">
                  <c:v>45726</c:v>
                </c:pt>
                <c:pt idx="249">
                  <c:v>45740</c:v>
                </c:pt>
                <c:pt idx="250">
                  <c:v>45829</c:v>
                </c:pt>
                <c:pt idx="251">
                  <c:v>45688</c:v>
                </c:pt>
                <c:pt idx="252">
                  <c:v>45756</c:v>
                </c:pt>
                <c:pt idx="253">
                  <c:v>45834</c:v>
                </c:pt>
                <c:pt idx="254">
                  <c:v>45818</c:v>
                </c:pt>
                <c:pt idx="255">
                  <c:v>45810</c:v>
                </c:pt>
                <c:pt idx="256">
                  <c:v>45788</c:v>
                </c:pt>
                <c:pt idx="257">
                  <c:v>45723</c:v>
                </c:pt>
                <c:pt idx="258">
                  <c:v>45717</c:v>
                </c:pt>
                <c:pt idx="259">
                  <c:v>45695</c:v>
                </c:pt>
                <c:pt idx="260">
                  <c:v>45831</c:v>
                </c:pt>
                <c:pt idx="261">
                  <c:v>45701</c:v>
                </c:pt>
                <c:pt idx="262">
                  <c:v>45792</c:v>
                </c:pt>
                <c:pt idx="263">
                  <c:v>45722</c:v>
                </c:pt>
                <c:pt idx="264">
                  <c:v>45750</c:v>
                </c:pt>
                <c:pt idx="265">
                  <c:v>45765</c:v>
                </c:pt>
                <c:pt idx="266">
                  <c:v>45709</c:v>
                </c:pt>
                <c:pt idx="267">
                  <c:v>45686</c:v>
                </c:pt>
                <c:pt idx="268">
                  <c:v>45807</c:v>
                </c:pt>
                <c:pt idx="269">
                  <c:v>45759</c:v>
                </c:pt>
                <c:pt idx="270">
                  <c:v>45742</c:v>
                </c:pt>
                <c:pt idx="271">
                  <c:v>45823</c:v>
                </c:pt>
                <c:pt idx="272">
                  <c:v>45695</c:v>
                </c:pt>
                <c:pt idx="273">
                  <c:v>45746</c:v>
                </c:pt>
                <c:pt idx="274">
                  <c:v>45812</c:v>
                </c:pt>
                <c:pt idx="275">
                  <c:v>45759</c:v>
                </c:pt>
                <c:pt idx="276">
                  <c:v>45803</c:v>
                </c:pt>
                <c:pt idx="277">
                  <c:v>45830</c:v>
                </c:pt>
                <c:pt idx="278">
                  <c:v>45702</c:v>
                </c:pt>
                <c:pt idx="279">
                  <c:v>45822</c:v>
                </c:pt>
                <c:pt idx="280">
                  <c:v>45752</c:v>
                </c:pt>
                <c:pt idx="281">
                  <c:v>45678</c:v>
                </c:pt>
                <c:pt idx="282">
                  <c:v>45706</c:v>
                </c:pt>
                <c:pt idx="283">
                  <c:v>45743</c:v>
                </c:pt>
                <c:pt idx="284">
                  <c:v>45681</c:v>
                </c:pt>
                <c:pt idx="285">
                  <c:v>45698</c:v>
                </c:pt>
                <c:pt idx="286">
                  <c:v>45769</c:v>
                </c:pt>
                <c:pt idx="287">
                  <c:v>45804</c:v>
                </c:pt>
                <c:pt idx="288">
                  <c:v>45797</c:v>
                </c:pt>
                <c:pt idx="289">
                  <c:v>45822</c:v>
                </c:pt>
                <c:pt idx="290">
                  <c:v>45794</c:v>
                </c:pt>
                <c:pt idx="291">
                  <c:v>45739</c:v>
                </c:pt>
                <c:pt idx="292">
                  <c:v>45791</c:v>
                </c:pt>
                <c:pt idx="293">
                  <c:v>45732</c:v>
                </c:pt>
                <c:pt idx="294">
                  <c:v>45835</c:v>
                </c:pt>
                <c:pt idx="295">
                  <c:v>45706</c:v>
                </c:pt>
                <c:pt idx="296">
                  <c:v>45804</c:v>
                </c:pt>
                <c:pt idx="297">
                  <c:v>45780</c:v>
                </c:pt>
              </c:numCache>
            </c:numRef>
          </c:cat>
          <c:val>
            <c:numRef>
              <c:f>Vendas!$H$2:$H$299</c:f>
              <c:numCache>
                <c:formatCode>General</c:formatCode>
                <c:ptCount val="298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1</c:v>
                </c:pt>
                <c:pt idx="15">
                  <c:v>3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5</c:v>
                </c:pt>
                <c:pt idx="24">
                  <c:v>4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6">
                  <c:v>5</c:v>
                </c:pt>
                <c:pt idx="37">
                  <c:v>3</c:v>
                </c:pt>
                <c:pt idx="38">
                  <c:v>2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4</c:v>
                </c:pt>
                <c:pt idx="46">
                  <c:v>5</c:v>
                </c:pt>
                <c:pt idx="47">
                  <c:v>4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5</c:v>
                </c:pt>
                <c:pt idx="53">
                  <c:v>2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5</c:v>
                </c:pt>
                <c:pt idx="61">
                  <c:v>1</c:v>
                </c:pt>
                <c:pt idx="62">
                  <c:v>5</c:v>
                </c:pt>
                <c:pt idx="63">
                  <c:v>4</c:v>
                </c:pt>
                <c:pt idx="64">
                  <c:v>3</c:v>
                </c:pt>
                <c:pt idx="65">
                  <c:v>5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4</c:v>
                </c:pt>
                <c:pt idx="70">
                  <c:v>2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4</c:v>
                </c:pt>
                <c:pt idx="75">
                  <c:v>4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5</c:v>
                </c:pt>
                <c:pt idx="89">
                  <c:v>2</c:v>
                </c:pt>
                <c:pt idx="90">
                  <c:v>5</c:v>
                </c:pt>
                <c:pt idx="91">
                  <c:v>1</c:v>
                </c:pt>
                <c:pt idx="92">
                  <c:v>4</c:v>
                </c:pt>
                <c:pt idx="93">
                  <c:v>5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1</c:v>
                </c:pt>
                <c:pt idx="98">
                  <c:v>3</c:v>
                </c:pt>
                <c:pt idx="99">
                  <c:v>1</c:v>
                </c:pt>
                <c:pt idx="100">
                  <c:v>4</c:v>
                </c:pt>
                <c:pt idx="101">
                  <c:v>4</c:v>
                </c:pt>
                <c:pt idx="102">
                  <c:v>3</c:v>
                </c:pt>
                <c:pt idx="103">
                  <c:v>1</c:v>
                </c:pt>
                <c:pt idx="104">
                  <c:v>1</c:v>
                </c:pt>
                <c:pt idx="105">
                  <c:v>5</c:v>
                </c:pt>
                <c:pt idx="106">
                  <c:v>1</c:v>
                </c:pt>
                <c:pt idx="107">
                  <c:v>1</c:v>
                </c:pt>
                <c:pt idx="108">
                  <c:v>4</c:v>
                </c:pt>
                <c:pt idx="109">
                  <c:v>5</c:v>
                </c:pt>
                <c:pt idx="110">
                  <c:v>3</c:v>
                </c:pt>
                <c:pt idx="111">
                  <c:v>4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5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1</c:v>
                </c:pt>
                <c:pt idx="124">
                  <c:v>2</c:v>
                </c:pt>
                <c:pt idx="125">
                  <c:v>4</c:v>
                </c:pt>
                <c:pt idx="126">
                  <c:v>3</c:v>
                </c:pt>
                <c:pt idx="127">
                  <c:v>5</c:v>
                </c:pt>
                <c:pt idx="128">
                  <c:v>3</c:v>
                </c:pt>
                <c:pt idx="129">
                  <c:v>3</c:v>
                </c:pt>
                <c:pt idx="130">
                  <c:v>5</c:v>
                </c:pt>
                <c:pt idx="131">
                  <c:v>3</c:v>
                </c:pt>
                <c:pt idx="132">
                  <c:v>2</c:v>
                </c:pt>
                <c:pt idx="133">
                  <c:v>3</c:v>
                </c:pt>
                <c:pt idx="134">
                  <c:v>1</c:v>
                </c:pt>
                <c:pt idx="135">
                  <c:v>4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3</c:v>
                </c:pt>
                <c:pt idx="140">
                  <c:v>4</c:v>
                </c:pt>
                <c:pt idx="141">
                  <c:v>4</c:v>
                </c:pt>
                <c:pt idx="142">
                  <c:v>5</c:v>
                </c:pt>
                <c:pt idx="143">
                  <c:v>1</c:v>
                </c:pt>
                <c:pt idx="144">
                  <c:v>4</c:v>
                </c:pt>
                <c:pt idx="145">
                  <c:v>2</c:v>
                </c:pt>
                <c:pt idx="146">
                  <c:v>4</c:v>
                </c:pt>
                <c:pt idx="147">
                  <c:v>3</c:v>
                </c:pt>
                <c:pt idx="148">
                  <c:v>3</c:v>
                </c:pt>
                <c:pt idx="149">
                  <c:v>5</c:v>
                </c:pt>
                <c:pt idx="150">
                  <c:v>3</c:v>
                </c:pt>
                <c:pt idx="151">
                  <c:v>4</c:v>
                </c:pt>
                <c:pt idx="152">
                  <c:v>3</c:v>
                </c:pt>
                <c:pt idx="153">
                  <c:v>5</c:v>
                </c:pt>
                <c:pt idx="154">
                  <c:v>4</c:v>
                </c:pt>
                <c:pt idx="155">
                  <c:v>5</c:v>
                </c:pt>
                <c:pt idx="156">
                  <c:v>1</c:v>
                </c:pt>
                <c:pt idx="157">
                  <c:v>2</c:v>
                </c:pt>
                <c:pt idx="158">
                  <c:v>4</c:v>
                </c:pt>
                <c:pt idx="159">
                  <c:v>5</c:v>
                </c:pt>
                <c:pt idx="160">
                  <c:v>1</c:v>
                </c:pt>
                <c:pt idx="161">
                  <c:v>4</c:v>
                </c:pt>
                <c:pt idx="162">
                  <c:v>4</c:v>
                </c:pt>
                <c:pt idx="163">
                  <c:v>5</c:v>
                </c:pt>
                <c:pt idx="164">
                  <c:v>2</c:v>
                </c:pt>
                <c:pt idx="165">
                  <c:v>1</c:v>
                </c:pt>
                <c:pt idx="166">
                  <c:v>3</c:v>
                </c:pt>
                <c:pt idx="167">
                  <c:v>1</c:v>
                </c:pt>
                <c:pt idx="168">
                  <c:v>3</c:v>
                </c:pt>
                <c:pt idx="169">
                  <c:v>1</c:v>
                </c:pt>
                <c:pt idx="170">
                  <c:v>5</c:v>
                </c:pt>
                <c:pt idx="171">
                  <c:v>2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4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5</c:v>
                </c:pt>
                <c:pt idx="180">
                  <c:v>5</c:v>
                </c:pt>
                <c:pt idx="181">
                  <c:v>4</c:v>
                </c:pt>
                <c:pt idx="182">
                  <c:v>3</c:v>
                </c:pt>
                <c:pt idx="183">
                  <c:v>5</c:v>
                </c:pt>
                <c:pt idx="184">
                  <c:v>1</c:v>
                </c:pt>
                <c:pt idx="185">
                  <c:v>5</c:v>
                </c:pt>
                <c:pt idx="186">
                  <c:v>1</c:v>
                </c:pt>
                <c:pt idx="187">
                  <c:v>3</c:v>
                </c:pt>
                <c:pt idx="188">
                  <c:v>3</c:v>
                </c:pt>
                <c:pt idx="189">
                  <c:v>1</c:v>
                </c:pt>
                <c:pt idx="190">
                  <c:v>5</c:v>
                </c:pt>
                <c:pt idx="191">
                  <c:v>5</c:v>
                </c:pt>
                <c:pt idx="192">
                  <c:v>1</c:v>
                </c:pt>
                <c:pt idx="193">
                  <c:v>1</c:v>
                </c:pt>
                <c:pt idx="194">
                  <c:v>2</c:v>
                </c:pt>
                <c:pt idx="195">
                  <c:v>3</c:v>
                </c:pt>
                <c:pt idx="196">
                  <c:v>2</c:v>
                </c:pt>
                <c:pt idx="197">
                  <c:v>4</c:v>
                </c:pt>
                <c:pt idx="198">
                  <c:v>5</c:v>
                </c:pt>
                <c:pt idx="199">
                  <c:v>4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4</c:v>
                </c:pt>
                <c:pt idx="204">
                  <c:v>2</c:v>
                </c:pt>
                <c:pt idx="205">
                  <c:v>1</c:v>
                </c:pt>
                <c:pt idx="206">
                  <c:v>3</c:v>
                </c:pt>
                <c:pt idx="207">
                  <c:v>1</c:v>
                </c:pt>
                <c:pt idx="208">
                  <c:v>3</c:v>
                </c:pt>
                <c:pt idx="209">
                  <c:v>4</c:v>
                </c:pt>
                <c:pt idx="210">
                  <c:v>5</c:v>
                </c:pt>
                <c:pt idx="211">
                  <c:v>5</c:v>
                </c:pt>
                <c:pt idx="212">
                  <c:v>2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5</c:v>
                </c:pt>
                <c:pt idx="219">
                  <c:v>4</c:v>
                </c:pt>
                <c:pt idx="220">
                  <c:v>2</c:v>
                </c:pt>
                <c:pt idx="221">
                  <c:v>4</c:v>
                </c:pt>
                <c:pt idx="222">
                  <c:v>3</c:v>
                </c:pt>
                <c:pt idx="223">
                  <c:v>1</c:v>
                </c:pt>
                <c:pt idx="224">
                  <c:v>5</c:v>
                </c:pt>
                <c:pt idx="225">
                  <c:v>4</c:v>
                </c:pt>
                <c:pt idx="226">
                  <c:v>2</c:v>
                </c:pt>
                <c:pt idx="227">
                  <c:v>5</c:v>
                </c:pt>
                <c:pt idx="228">
                  <c:v>4</c:v>
                </c:pt>
                <c:pt idx="229">
                  <c:v>2</c:v>
                </c:pt>
                <c:pt idx="230">
                  <c:v>4</c:v>
                </c:pt>
                <c:pt idx="231">
                  <c:v>4</c:v>
                </c:pt>
                <c:pt idx="232">
                  <c:v>2</c:v>
                </c:pt>
                <c:pt idx="233">
                  <c:v>1</c:v>
                </c:pt>
                <c:pt idx="234">
                  <c:v>5</c:v>
                </c:pt>
                <c:pt idx="235">
                  <c:v>2</c:v>
                </c:pt>
                <c:pt idx="236">
                  <c:v>2</c:v>
                </c:pt>
                <c:pt idx="237">
                  <c:v>3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3</c:v>
                </c:pt>
                <c:pt idx="242">
                  <c:v>5</c:v>
                </c:pt>
                <c:pt idx="243">
                  <c:v>4</c:v>
                </c:pt>
                <c:pt idx="244">
                  <c:v>4</c:v>
                </c:pt>
                <c:pt idx="245">
                  <c:v>1</c:v>
                </c:pt>
                <c:pt idx="246">
                  <c:v>5</c:v>
                </c:pt>
                <c:pt idx="247">
                  <c:v>5</c:v>
                </c:pt>
                <c:pt idx="248">
                  <c:v>3</c:v>
                </c:pt>
                <c:pt idx="249">
                  <c:v>1</c:v>
                </c:pt>
                <c:pt idx="250">
                  <c:v>4</c:v>
                </c:pt>
                <c:pt idx="251">
                  <c:v>4</c:v>
                </c:pt>
                <c:pt idx="252">
                  <c:v>3</c:v>
                </c:pt>
                <c:pt idx="253">
                  <c:v>5</c:v>
                </c:pt>
                <c:pt idx="254">
                  <c:v>1</c:v>
                </c:pt>
                <c:pt idx="255">
                  <c:v>1</c:v>
                </c:pt>
                <c:pt idx="256">
                  <c:v>4</c:v>
                </c:pt>
                <c:pt idx="257">
                  <c:v>3</c:v>
                </c:pt>
                <c:pt idx="258">
                  <c:v>2</c:v>
                </c:pt>
                <c:pt idx="259">
                  <c:v>3</c:v>
                </c:pt>
                <c:pt idx="260">
                  <c:v>3</c:v>
                </c:pt>
                <c:pt idx="261">
                  <c:v>4</c:v>
                </c:pt>
                <c:pt idx="262">
                  <c:v>1</c:v>
                </c:pt>
                <c:pt idx="263">
                  <c:v>1</c:v>
                </c:pt>
                <c:pt idx="264">
                  <c:v>2</c:v>
                </c:pt>
                <c:pt idx="265">
                  <c:v>3</c:v>
                </c:pt>
                <c:pt idx="266">
                  <c:v>4</c:v>
                </c:pt>
                <c:pt idx="267">
                  <c:v>4</c:v>
                </c:pt>
                <c:pt idx="268">
                  <c:v>2</c:v>
                </c:pt>
                <c:pt idx="269">
                  <c:v>5</c:v>
                </c:pt>
                <c:pt idx="270">
                  <c:v>3</c:v>
                </c:pt>
                <c:pt idx="271">
                  <c:v>1</c:v>
                </c:pt>
                <c:pt idx="272">
                  <c:v>3</c:v>
                </c:pt>
                <c:pt idx="273">
                  <c:v>5</c:v>
                </c:pt>
                <c:pt idx="274">
                  <c:v>4</c:v>
                </c:pt>
                <c:pt idx="275">
                  <c:v>2</c:v>
                </c:pt>
                <c:pt idx="276">
                  <c:v>1</c:v>
                </c:pt>
                <c:pt idx="277">
                  <c:v>5</c:v>
                </c:pt>
                <c:pt idx="278">
                  <c:v>2</c:v>
                </c:pt>
                <c:pt idx="279">
                  <c:v>5</c:v>
                </c:pt>
                <c:pt idx="280">
                  <c:v>3</c:v>
                </c:pt>
                <c:pt idx="281">
                  <c:v>4</c:v>
                </c:pt>
                <c:pt idx="282">
                  <c:v>5</c:v>
                </c:pt>
                <c:pt idx="283">
                  <c:v>4</c:v>
                </c:pt>
                <c:pt idx="284">
                  <c:v>2</c:v>
                </c:pt>
                <c:pt idx="285">
                  <c:v>2</c:v>
                </c:pt>
                <c:pt idx="286">
                  <c:v>5</c:v>
                </c:pt>
                <c:pt idx="287">
                  <c:v>3</c:v>
                </c:pt>
                <c:pt idx="288">
                  <c:v>5</c:v>
                </c:pt>
                <c:pt idx="289">
                  <c:v>4</c:v>
                </c:pt>
                <c:pt idx="290">
                  <c:v>4</c:v>
                </c:pt>
                <c:pt idx="291">
                  <c:v>2</c:v>
                </c:pt>
                <c:pt idx="292">
                  <c:v>4</c:v>
                </c:pt>
                <c:pt idx="293">
                  <c:v>1</c:v>
                </c:pt>
                <c:pt idx="294">
                  <c:v>2</c:v>
                </c:pt>
                <c:pt idx="295">
                  <c:v>3</c:v>
                </c:pt>
                <c:pt idx="296">
                  <c:v>2</c:v>
                </c:pt>
                <c:pt idx="29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D-4C17-9C73-032930CB3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45072"/>
        <c:axId val="187836432"/>
      </c:areaChart>
      <c:dateAx>
        <c:axId val="187845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836432"/>
        <c:crosses val="autoZero"/>
        <c:auto val="1"/>
        <c:lblOffset val="100"/>
        <c:baseTimeUnit val="days"/>
      </c:dateAx>
      <c:valAx>
        <c:axId val="187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84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plotArea>
      <cx:plotAreaRegion>
        <cx:series layoutId="funnel" uniqueId="{2A9C8B03-C312-4FAC-AB02-766140758773}">
          <cx:tx>
            <cx:txData>
              <cx:f>_xlchart.v2.7</cx:f>
              <cx:v>Quantidade Vendida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400" b="1">
                    <a:solidFill>
                      <a:schemeClr val="bg1"/>
                    </a:solidFill>
                  </a:defRPr>
                </a:pPr>
                <a:endParaRPr lang="pt-BR" sz="2400" b="1" i="0" u="none" strike="noStrike" baseline="0">
                  <a:solidFill>
                    <a:schemeClr val="bg1"/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 b="1"/>
            </a:pPr>
            <a:endParaRPr lang="pt-BR" sz="1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B90AD5-8B40-442E-A40C-9BB25C68F619}">
  <sheetPr/>
  <sheetViews>
    <sheetView zoomScale="9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BF51DA-C669-4C20-BC67-8A28D009E2E0}">
  <sheetPr/>
  <sheetViews>
    <sheetView zoomScale="7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4DC91BC-3E9D-4EDE-B1C9-ECDC5E2EEAE3}">
  <sheetPr/>
  <sheetViews>
    <sheetView zoomScale="7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0</xdr:row>
      <xdr:rowOff>0</xdr:rowOff>
    </xdr:from>
    <xdr:to>
      <xdr:col>6</xdr:col>
      <xdr:colOff>47625</xdr:colOff>
      <xdr:row>16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E7AE10-F760-D5B6-5200-BCAE6A98F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257175</xdr:colOff>
      <xdr:row>0</xdr:row>
      <xdr:rowOff>133350</xdr:rowOff>
    </xdr:from>
    <xdr:to>
      <xdr:col>11</xdr:col>
      <xdr:colOff>19050</xdr:colOff>
      <xdr:row>7</xdr:row>
      <xdr:rowOff>171450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a da Venda">
              <a:extLst>
                <a:ext uri="{FF2B5EF4-FFF2-40B4-BE49-F238E27FC236}">
                  <a16:creationId xmlns:a16="http://schemas.microsoft.com/office/drawing/2014/main" id="{62C512C8-BCA2-5BB1-0E1C-241591A378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 da Ven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2200" y="1333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8</xdr:col>
      <xdr:colOff>314325</xdr:colOff>
      <xdr:row>18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13967F-F30F-2E7D-0431-A38220E8D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476250</xdr:colOff>
      <xdr:row>0</xdr:row>
      <xdr:rowOff>152401</xdr:rowOff>
    </xdr:from>
    <xdr:to>
      <xdr:col>11</xdr:col>
      <xdr:colOff>476250</xdr:colOff>
      <xdr:row>10</xdr:row>
      <xdr:rowOff>57151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gião da Venda">
              <a:extLst>
                <a:ext uri="{FF2B5EF4-FFF2-40B4-BE49-F238E27FC236}">
                  <a16:creationId xmlns:a16="http://schemas.microsoft.com/office/drawing/2014/main" id="{844D8E27-CA7E-4C05-8BBE-DDF5A694E0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 da Ven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91375" y="152401"/>
              <a:ext cx="1828800" cy="1809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48701" cy="6011883"/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9736C207-8435-7964-C992-84AD0FA793C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88D67370-F3D9-860F-AD70-C3918DC6EB99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648701" cy="601188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pt-BR" sz="1100"/>
            <a:t>Este gráfico não está disponível na sua versão de Excel.
Editar esta forma ou salvar esta pasta de trabalho em um formato de arquivo diferente quebrará o gráfico permanentemente.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648701" cy="60118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3CFDE0-C1BC-5E49-CAFB-F09AD92191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648701" cy="60118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0FC69C-6272-2A6C-925E-CC14BA65E7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5845.061970601855" backgroundQuery="1" createdVersion="8" refreshedVersion="8" minRefreshableVersion="3" recordCount="0" supportSubquery="1" supportAdvancedDrill="1" xr:uid="{78F25275-BF8C-4F1B-A09D-94073DD5073F}">
  <cacheSource type="external" connectionId="1"/>
  <cacheFields count="3">
    <cacheField name="[TB_Vendedor].[Nome do Vendedor].[Nome do Vendedor]" caption="Nome do Vendedor" numFmtId="0" hierarchy="12" level="1">
      <sharedItems count="8">
        <s v="Fernanda Lima"/>
        <s v="João Pedro"/>
        <s v="Bruno Fernandes"/>
        <s v="Lucas Rocha"/>
        <s v="Rafael Martins"/>
        <s v="Carlos Souza"/>
        <s v="Juliana Costa"/>
        <s v="Mariana Oliveira"/>
      </sharedItems>
    </cacheField>
    <cacheField name="[Measures].[Soma de Quantidade Vendida]" caption="Soma de Quantidade Vendida" numFmtId="0" hierarchy="21" level="32767"/>
    <cacheField name="[TB_Venda].[Região da Venda].[Região da Venda]" caption="Região da Venda" numFmtId="0" hierarchy="9" level="1">
      <sharedItems count="5">
        <s v="Centro-Oeste"/>
        <s v="Nordeste"/>
        <s v="Norte"/>
        <s v="Sudeste"/>
        <s v="Sul"/>
      </sharedItems>
    </cacheField>
  </cacheFields>
  <cacheHierarchies count="22">
    <cacheHierarchy uniqueName="[TB_Venda].[Número NF]" caption="Número NF" attribute="1" defaultMemberUniqueName="[TB_Venda].[Número NF].[All]" allUniqueName="[TB_Venda].[Número NF].[All]" dimensionUniqueName="[TB_Venda]" displayFolder="" count="2" memberValueDatatype="130" unbalanced="0"/>
    <cacheHierarchy uniqueName="[TB_Venda].[Data da Venda]" caption="Data da Venda" attribute="1" time="1" defaultMemberUniqueName="[TB_Venda].[Data da Venda].[All]" allUniqueName="[TB_Venda].[Data da Venda].[All]" dimensionUniqueName="[TB_Venda]" displayFolder="" count="2" memberValueDatatype="7" unbalanced="0"/>
    <cacheHierarchy uniqueName="[TB_Venda].[Código do Produto]" caption="Código do Produto" attribute="1" defaultMemberUniqueName="[TB_Venda].[Código do Produto].[All]" allUniqueName="[TB_Venda].[Código do Produto].[All]" dimensionUniqueName="[TB_Venda]" displayFolder="" count="2" memberValueDatatype="130" unbalanced="0"/>
    <cacheHierarchy uniqueName="[TB_Venda].[Nome do Produto]" caption="Nome do Produto" attribute="1" defaultMemberUniqueName="[TB_Venda].[Nome do Produto].[All]" allUniqueName="[TB_Venda].[Nome do Produto].[All]" dimensionUniqueName="[TB_Venda]" displayFolder="" count="2" memberValueDatatype="130" unbalanced="0"/>
    <cacheHierarchy uniqueName="[TB_Venda].[Categoria]" caption="Categoria" attribute="1" defaultMemberUniqueName="[TB_Venda].[Categoria].[All]" allUniqueName="[TB_Venda].[Categoria].[All]" dimensionUniqueName="[TB_Venda]" displayFolder="" count="2" memberValueDatatype="130" unbalanced="0"/>
    <cacheHierarchy uniqueName="[TB_Venda].[Categoria Simplificada]" caption="Categoria Simplificada" attribute="1" defaultMemberUniqueName="[TB_Venda].[Categoria Simplificada].[All]" allUniqueName="[TB_Venda].[Categoria Simplificada].[All]" dimensionUniqueName="[TB_Venda]" displayFolder="" count="2" memberValueDatatype="130" unbalanced="0"/>
    <cacheHierarchy uniqueName="[TB_Venda].[Matrícula do Vendedor]" caption="Matrícula do Vendedor" attribute="1" defaultMemberUniqueName="[TB_Venda].[Matrícula do Vendedor].[All]" allUniqueName="[TB_Venda].[Matrícula do Vendedor].[All]" dimensionUniqueName="[TB_Venda]" displayFolder="" count="2" memberValueDatatype="130" unbalanced="0"/>
    <cacheHierarchy uniqueName="[TB_Venda].[Quantidade Vendida]" caption="Quantidade Vendida" attribute="1" defaultMemberUniqueName="[TB_Venda].[Quantidade Vendida].[All]" allUniqueName="[TB_Venda].[Quantidade Vendida].[All]" dimensionUniqueName="[TB_Venda]" displayFolder="" count="2" memberValueDatatype="20" unbalanced="0"/>
    <cacheHierarchy uniqueName="[TB_Venda].[Preço Unitário de Venda (R$)]" caption="Preço Unitário de Venda (R$)" attribute="1" defaultMemberUniqueName="[TB_Venda].[Preço Unitário de Venda (R$)].[All]" allUniqueName="[TB_Venda].[Preço Unitário de Venda (R$)].[All]" dimensionUniqueName="[TB_Venda]" displayFolder="" count="2" memberValueDatatype="5" unbalanced="0"/>
    <cacheHierarchy uniqueName="[TB_Venda].[Região da Venda]" caption="Região da Venda" attribute="1" defaultMemberUniqueName="[TB_Venda].[Região da Venda].[All]" allUniqueName="[TB_Venda].[Região da Venda].[All]" dimensionUniqueName="[TB_Venda]" displayFolder="" count="2" memberValueDatatype="130" unbalanced="0">
      <fieldsUsage count="2">
        <fieldUsage x="-1"/>
        <fieldUsage x="2"/>
      </fieldsUsage>
    </cacheHierarchy>
    <cacheHierarchy uniqueName="[TB_Venda].[Data da Venda (Mês)]" caption="Data da Venda (Mês)" attribute="1" defaultMemberUniqueName="[TB_Venda].[Data da Venda (Mês)].[All]" allUniqueName="[TB_Venda].[Data da Venda (Mês)].[All]" dimensionUniqueName="[TB_Venda]" displayFolder="" count="2" memberValueDatatype="130" unbalanced="0"/>
    <cacheHierarchy uniqueName="[TB_Vendedor].[Matrícula]" caption="Matrícula" attribute="1" defaultMemberUniqueName="[TB_Vendedor].[Matrícula].[All]" allUniqueName="[TB_Vendedor].[Matrícula].[All]" dimensionUniqueName="[TB_Vendedor]" displayFolder="" count="2" memberValueDatatype="130" unbalanced="0"/>
    <cacheHierarchy uniqueName="[TB_Vendedor].[Nome do Vendedor]" caption="Nome do Vendedor" attribute="1" defaultMemberUniqueName="[TB_Vendedor].[Nome do Vendedor].[All]" allUniqueName="[TB_Vendedor].[Nome do Vendedor].[All]" dimensionUniqueName="[TB_Vendedor]" displayFolder="" count="2" memberValueDatatype="130" unbalanced="0">
      <fieldsUsage count="2">
        <fieldUsage x="-1"/>
        <fieldUsage x="0"/>
      </fieldsUsage>
    </cacheHierarchy>
    <cacheHierarchy uniqueName="[TB_Vendedor].[Região]" caption="Região" attribute="1" defaultMemberUniqueName="[TB_Vendedor].[Região].[All]" allUniqueName="[TB_Vendedor].[Região].[All]" dimensionUniqueName="[TB_Vendedor]" displayFolder="" count="2" memberValueDatatype="130" unbalanced="0"/>
    <cacheHierarchy uniqueName="[TB_Vendedor].[Quantidade Vendida]" caption="Quantidade Vendida" attribute="1" defaultMemberUniqueName="[TB_Vendedor].[Quantidade Vendida].[All]" allUniqueName="[TB_Vendedor].[Quantidade Vendida].[All]" dimensionUniqueName="[TB_Vendedor]" displayFolder="" count="2" memberValueDatatype="20" unbalanced="0"/>
    <cacheHierarchy uniqueName="[TB_Vendedor].[Número de Vendas]" caption="Número de Vendas" attribute="1" defaultMemberUniqueName="[TB_Vendedor].[Número de Vendas].[All]" allUniqueName="[TB_Vendedor].[Número de Vendas].[All]" dimensionUniqueName="[TB_Vendedor]" displayFolder="" count="2" memberValueDatatype="20" unbalanced="0"/>
    <cacheHierarchy uniqueName="[TB_Vendedor].[Número Vendas Calçado]" caption="Número Vendas Calçado" attribute="1" defaultMemberUniqueName="[TB_Vendedor].[Número Vendas Calçado].[All]" allUniqueName="[TB_Vendedor].[Número Vendas Calçado].[All]" dimensionUniqueName="[TB_Vendedor]" displayFolder="" count="2" memberValueDatatype="20" unbalanced="0"/>
    <cacheHierarchy uniqueName="[TB_Venda].[Data da Venda (Índice de Mês)]" caption="Data da Venda (Índice de Mês)" attribute="1" defaultMemberUniqueName="[TB_Venda].[Data da Venda (Índice de Mês)].[All]" allUniqueName="[TB_Venda].[Data da Venda (Índice de Mês)].[All]" dimensionUniqueName="[TB_Venda]" displayFolder="" count="2" memberValueDatatype="20" unbalanced="0" hidden="1"/>
    <cacheHierarchy uniqueName="[Measures].[__XL_Count TB_Venda]" caption="__XL_Count TB_Venda" measure="1" displayFolder="" measureGroup="TB_Venda" count="0" hidden="1"/>
    <cacheHierarchy uniqueName="[Measures].[__XL_Count TB_Vendedor]" caption="__XL_Count TB_Vendedor" measure="1" displayFolder="" measureGroup="TB_Vendedor" count="0" hidden="1"/>
    <cacheHierarchy uniqueName="[Measures].[__No measures defined]" caption="__No measures defined" measure="1" displayFolder="" count="0" hidden="1"/>
    <cacheHierarchy uniqueName="[Measures].[Soma de Quantidade Vendida]" caption="Soma de Quantidade Vendida" measure="1" displayFolder="" measureGroup="TB_Vend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TB_Venda" uniqueName="[TB_Venda]" caption="TB_Venda"/>
    <dimension name="TB_Vendedor" uniqueName="[TB_Vendedor]" caption="TB_Vendedor"/>
  </dimensions>
  <measureGroups count="2">
    <measureGroup name="TB_Venda" caption="TB_Venda"/>
    <measureGroup name="TB_Vendedor" caption="TB_Vendedor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5845.063068634263" backgroundQuery="1" createdVersion="8" refreshedVersion="8" minRefreshableVersion="3" recordCount="0" supportSubquery="1" supportAdvancedDrill="1" xr:uid="{CAD59DAF-888D-4BA9-87AB-C06A97E3F188}">
  <cacheSource type="external" connectionId="1"/>
  <cacheFields count="4">
    <cacheField name="[TB_Venda].[Data da Venda (Mês)].[Data da Venda (Mês)]" caption="Data da Venda (Mês)" numFmtId="0" hierarchy="10" level="1">
      <sharedItems count="1">
        <s v="mar"/>
      </sharedItems>
    </cacheField>
    <cacheField name="[Measures].[Soma de Quantidade Vendida]" caption="Soma de Quantidade Vendida" numFmtId="0" hierarchy="21" level="32767"/>
    <cacheField name="[TB_Vendedor].[Nome do Vendedor].[Nome do Vendedor]" caption="Nome do Vendedor" numFmtId="0" hierarchy="12" level="1">
      <sharedItems count="10">
        <s v="Ana Beatriz"/>
        <s v="Bruno Fernandes"/>
        <s v="Camila Duarte"/>
        <s v="Carlos Souza"/>
        <s v="Fernanda Lima"/>
        <s v="João Pedro"/>
        <s v="Juliana Costa"/>
        <s v="Lucas Rocha"/>
        <s v="Mariana Oliveira"/>
        <s v="Rafael Martins"/>
      </sharedItems>
    </cacheField>
    <cacheField name="[TB_Venda].[Data da Venda].[Data da Venda]" caption="Data da Venda" numFmtId="0" hierarchy="1" level="1">
      <sharedItems containsSemiMixedTypes="0" containsNonDate="0" containsString="0"/>
    </cacheField>
  </cacheFields>
  <cacheHierarchies count="22">
    <cacheHierarchy uniqueName="[TB_Venda].[Número NF]" caption="Número NF" attribute="1" defaultMemberUniqueName="[TB_Venda].[Número NF].[All]" allUniqueName="[TB_Venda].[Número NF].[All]" dimensionUniqueName="[TB_Venda]" displayFolder="" count="2" memberValueDatatype="130" unbalanced="0"/>
    <cacheHierarchy uniqueName="[TB_Venda].[Data da Venda]" caption="Data da Venda" attribute="1" time="1" defaultMemberUniqueName="[TB_Venda].[Data da Venda].[All]" allUniqueName="[TB_Venda].[Data da Venda].[All]" dimensionUniqueName="[TB_Venda]" displayFolder="" count="2" memberValueDatatype="7" unbalanced="0">
      <fieldsUsage count="2">
        <fieldUsage x="-1"/>
        <fieldUsage x="3"/>
      </fieldsUsage>
    </cacheHierarchy>
    <cacheHierarchy uniqueName="[TB_Venda].[Código do Produto]" caption="Código do Produto" attribute="1" defaultMemberUniqueName="[TB_Venda].[Código do Produto].[All]" allUniqueName="[TB_Venda].[Código do Produto].[All]" dimensionUniqueName="[TB_Venda]" displayFolder="" count="2" memberValueDatatype="130" unbalanced="0"/>
    <cacheHierarchy uniqueName="[TB_Venda].[Nome do Produto]" caption="Nome do Produto" attribute="1" defaultMemberUniqueName="[TB_Venda].[Nome do Produto].[All]" allUniqueName="[TB_Venda].[Nome do Produto].[All]" dimensionUniqueName="[TB_Venda]" displayFolder="" count="2" memberValueDatatype="130" unbalanced="0"/>
    <cacheHierarchy uniqueName="[TB_Venda].[Categoria]" caption="Categoria" attribute="1" defaultMemberUniqueName="[TB_Venda].[Categoria].[All]" allUniqueName="[TB_Venda].[Categoria].[All]" dimensionUniqueName="[TB_Venda]" displayFolder="" count="2" memberValueDatatype="130" unbalanced="0"/>
    <cacheHierarchy uniqueName="[TB_Venda].[Categoria Simplificada]" caption="Categoria Simplificada" attribute="1" defaultMemberUniqueName="[TB_Venda].[Categoria Simplificada].[All]" allUniqueName="[TB_Venda].[Categoria Simplificada].[All]" dimensionUniqueName="[TB_Venda]" displayFolder="" count="2" memberValueDatatype="130" unbalanced="0"/>
    <cacheHierarchy uniqueName="[TB_Venda].[Matrícula do Vendedor]" caption="Matrícula do Vendedor" attribute="1" defaultMemberUniqueName="[TB_Venda].[Matrícula do Vendedor].[All]" allUniqueName="[TB_Venda].[Matrícula do Vendedor].[All]" dimensionUniqueName="[TB_Venda]" displayFolder="" count="2" memberValueDatatype="130" unbalanced="0"/>
    <cacheHierarchy uniqueName="[TB_Venda].[Quantidade Vendida]" caption="Quantidade Vendida" attribute="1" defaultMemberUniqueName="[TB_Venda].[Quantidade Vendida].[All]" allUniqueName="[TB_Venda].[Quantidade Vendida].[All]" dimensionUniqueName="[TB_Venda]" displayFolder="" count="2" memberValueDatatype="20" unbalanced="0"/>
    <cacheHierarchy uniqueName="[TB_Venda].[Preço Unitário de Venda (R$)]" caption="Preço Unitário de Venda (R$)" attribute="1" defaultMemberUniqueName="[TB_Venda].[Preço Unitário de Venda (R$)].[All]" allUniqueName="[TB_Venda].[Preço Unitário de Venda (R$)].[All]" dimensionUniqueName="[TB_Venda]" displayFolder="" count="2" memberValueDatatype="5" unbalanced="0"/>
    <cacheHierarchy uniqueName="[TB_Venda].[Região da Venda]" caption="Região da Venda" attribute="1" defaultMemberUniqueName="[TB_Venda].[Região da Venda].[All]" allUniqueName="[TB_Venda].[Região da Venda].[All]" dimensionUniqueName="[TB_Venda]" displayFolder="" count="2" memberValueDatatype="130" unbalanced="0"/>
    <cacheHierarchy uniqueName="[TB_Venda].[Data da Venda (Mês)]" caption="Data da Venda (Mês)" attribute="1" defaultMemberUniqueName="[TB_Venda].[Data da Venda (Mês)].[All]" allUniqueName="[TB_Venda].[Data da Venda (Mês)].[All]" dimensionUniqueName="[TB_Venda]" displayFolder="" count="2" memberValueDatatype="130" unbalanced="0">
      <fieldsUsage count="2">
        <fieldUsage x="-1"/>
        <fieldUsage x="0"/>
      </fieldsUsage>
    </cacheHierarchy>
    <cacheHierarchy uniqueName="[TB_Vendedor].[Matrícula]" caption="Matrícula" attribute="1" defaultMemberUniqueName="[TB_Vendedor].[Matrícula].[All]" allUniqueName="[TB_Vendedor].[Matrícula].[All]" dimensionUniqueName="[TB_Vendedor]" displayFolder="" count="2" memberValueDatatype="130" unbalanced="0"/>
    <cacheHierarchy uniqueName="[TB_Vendedor].[Nome do Vendedor]" caption="Nome do Vendedor" attribute="1" defaultMemberUniqueName="[TB_Vendedor].[Nome do Vendedor].[All]" allUniqueName="[TB_Vendedor].[Nome do Vendedor].[All]" dimensionUniqueName="[TB_Vendedor]" displayFolder="" count="2" memberValueDatatype="130" unbalanced="0">
      <fieldsUsage count="2">
        <fieldUsage x="-1"/>
        <fieldUsage x="2"/>
      </fieldsUsage>
    </cacheHierarchy>
    <cacheHierarchy uniqueName="[TB_Vendedor].[Região]" caption="Região" attribute="1" defaultMemberUniqueName="[TB_Vendedor].[Região].[All]" allUniqueName="[TB_Vendedor].[Região].[All]" dimensionUniqueName="[TB_Vendedor]" displayFolder="" count="2" memberValueDatatype="130" unbalanced="0"/>
    <cacheHierarchy uniqueName="[TB_Vendedor].[Quantidade Vendida]" caption="Quantidade Vendida" attribute="1" defaultMemberUniqueName="[TB_Vendedor].[Quantidade Vendida].[All]" allUniqueName="[TB_Vendedor].[Quantidade Vendida].[All]" dimensionUniqueName="[TB_Vendedor]" displayFolder="" count="2" memberValueDatatype="20" unbalanced="0"/>
    <cacheHierarchy uniqueName="[TB_Vendedor].[Número de Vendas]" caption="Número de Vendas" attribute="1" defaultMemberUniqueName="[TB_Vendedor].[Número de Vendas].[All]" allUniqueName="[TB_Vendedor].[Número de Vendas].[All]" dimensionUniqueName="[TB_Vendedor]" displayFolder="" count="2" memberValueDatatype="20" unbalanced="0"/>
    <cacheHierarchy uniqueName="[TB_Vendedor].[Número Vendas Calçado]" caption="Número Vendas Calçado" attribute="1" defaultMemberUniqueName="[TB_Vendedor].[Número Vendas Calçado].[All]" allUniqueName="[TB_Vendedor].[Número Vendas Calçado].[All]" dimensionUniqueName="[TB_Vendedor]" displayFolder="" count="2" memberValueDatatype="20" unbalanced="0"/>
    <cacheHierarchy uniqueName="[TB_Venda].[Data da Venda (Índice de Mês)]" caption="Data da Venda (Índice de Mês)" attribute="1" defaultMemberUniqueName="[TB_Venda].[Data da Venda (Índice de Mês)].[All]" allUniqueName="[TB_Venda].[Data da Venda (Índice de Mês)].[All]" dimensionUniqueName="[TB_Venda]" displayFolder="" count="2" memberValueDatatype="20" unbalanced="0" hidden="1"/>
    <cacheHierarchy uniqueName="[Measures].[__XL_Count TB_Venda]" caption="__XL_Count TB_Venda" measure="1" displayFolder="" measureGroup="TB_Venda" count="0" hidden="1"/>
    <cacheHierarchy uniqueName="[Measures].[__XL_Count TB_Vendedor]" caption="__XL_Count TB_Vendedor" measure="1" displayFolder="" measureGroup="TB_Vendedor" count="0" hidden="1"/>
    <cacheHierarchy uniqueName="[Measures].[__No measures defined]" caption="__No measures defined" measure="1" displayFolder="" count="0" hidden="1"/>
    <cacheHierarchy uniqueName="[Measures].[Soma de Quantidade Vendida]" caption="Soma de Quantidade Vendida" measure="1" displayFolder="" measureGroup="TB_Vend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TB_Venda" uniqueName="[TB_Venda]" caption="TB_Venda"/>
    <dimension name="TB_Vendedor" uniqueName="[TB_Vendedor]" caption="TB_Vendedor"/>
  </dimensions>
  <measureGroups count="2">
    <measureGroup name="TB_Venda" caption="TB_Venda"/>
    <measureGroup name="TB_Vendedor" caption="TB_Vendedor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5845.061454861112" backgroundQuery="1" createdVersion="3" refreshedVersion="8" minRefreshableVersion="3" recordCount="0" supportSubquery="1" supportAdvancedDrill="1" xr:uid="{199E1D6E-A23A-4339-9F48-1761EA602D68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2">
    <cacheHierarchy uniqueName="[TB_Venda].[Número NF]" caption="Número NF" attribute="1" defaultMemberUniqueName="[TB_Venda].[Número NF].[All]" allUniqueName="[TB_Venda].[Número NF].[All]" dimensionUniqueName="[TB_Venda]" displayFolder="" count="0" memberValueDatatype="130" unbalanced="0"/>
    <cacheHierarchy uniqueName="[TB_Venda].[Data da Venda]" caption="Data da Venda" attribute="1" time="1" defaultMemberUniqueName="[TB_Venda].[Data da Venda].[All]" allUniqueName="[TB_Venda].[Data da Venda].[All]" dimensionUniqueName="[TB_Venda]" displayFolder="" count="0" memberValueDatatype="7" unbalanced="0"/>
    <cacheHierarchy uniqueName="[TB_Venda].[Código do Produto]" caption="Código do Produto" attribute="1" defaultMemberUniqueName="[TB_Venda].[Código do Produto].[All]" allUniqueName="[TB_Venda].[Código do Produto].[All]" dimensionUniqueName="[TB_Venda]" displayFolder="" count="0" memberValueDatatype="130" unbalanced="0"/>
    <cacheHierarchy uniqueName="[TB_Venda].[Nome do Produto]" caption="Nome do Produto" attribute="1" defaultMemberUniqueName="[TB_Venda].[Nome do Produto].[All]" allUniqueName="[TB_Venda].[Nome do Produto].[All]" dimensionUniqueName="[TB_Venda]" displayFolder="" count="0" memberValueDatatype="130" unbalanced="0"/>
    <cacheHierarchy uniqueName="[TB_Venda].[Categoria]" caption="Categoria" attribute="1" defaultMemberUniqueName="[TB_Venda].[Categoria].[All]" allUniqueName="[TB_Venda].[Categoria].[All]" dimensionUniqueName="[TB_Venda]" displayFolder="" count="0" memberValueDatatype="130" unbalanced="0"/>
    <cacheHierarchy uniqueName="[TB_Venda].[Categoria Simplificada]" caption="Categoria Simplificada" attribute="1" defaultMemberUniqueName="[TB_Venda].[Categoria Simplificada].[All]" allUniqueName="[TB_Venda].[Categoria Simplificada].[All]" dimensionUniqueName="[TB_Venda]" displayFolder="" count="0" memberValueDatatype="130" unbalanced="0"/>
    <cacheHierarchy uniqueName="[TB_Venda].[Matrícula do Vendedor]" caption="Matrícula do Vendedor" attribute="1" defaultMemberUniqueName="[TB_Venda].[Matrícula do Vendedor].[All]" allUniqueName="[TB_Venda].[Matrícula do Vendedor].[All]" dimensionUniqueName="[TB_Venda]" displayFolder="" count="0" memberValueDatatype="130" unbalanced="0"/>
    <cacheHierarchy uniqueName="[TB_Venda].[Quantidade Vendida]" caption="Quantidade Vendida" attribute="1" defaultMemberUniqueName="[TB_Venda].[Quantidade Vendida].[All]" allUniqueName="[TB_Venda].[Quantidade Vendida].[All]" dimensionUniqueName="[TB_Venda]" displayFolder="" count="0" memberValueDatatype="20" unbalanced="0"/>
    <cacheHierarchy uniqueName="[TB_Venda].[Preço Unitário de Venda (R$)]" caption="Preço Unitário de Venda (R$)" attribute="1" defaultMemberUniqueName="[TB_Venda].[Preço Unitário de Venda (R$)].[All]" allUniqueName="[TB_Venda].[Preço Unitário de Venda (R$)].[All]" dimensionUniqueName="[TB_Venda]" displayFolder="" count="0" memberValueDatatype="5" unbalanced="0"/>
    <cacheHierarchy uniqueName="[TB_Venda].[Região da Venda]" caption="Região da Venda" attribute="1" defaultMemberUniqueName="[TB_Venda].[Região da Venda].[All]" allUniqueName="[TB_Venda].[Região da Venda].[All]" dimensionUniqueName="[TB_Venda]" displayFolder="" count="2" memberValueDatatype="130" unbalanced="0"/>
    <cacheHierarchy uniqueName="[TB_Venda].[Data da Venda (Mês)]" caption="Data da Venda (Mês)" attribute="1" defaultMemberUniqueName="[TB_Venda].[Data da Venda (Mês)].[All]" allUniqueName="[TB_Venda].[Data da Venda (Mês)].[All]" dimensionUniqueName="[TB_Venda]" displayFolder="" count="0" memberValueDatatype="130" unbalanced="0"/>
    <cacheHierarchy uniqueName="[TB_Vendedor].[Matrícula]" caption="Matrícula" attribute="1" defaultMemberUniqueName="[TB_Vendedor].[Matrícula].[All]" allUniqueName="[TB_Vendedor].[Matrícula].[All]" dimensionUniqueName="[TB_Vendedor]" displayFolder="" count="0" memberValueDatatype="130" unbalanced="0"/>
    <cacheHierarchy uniqueName="[TB_Vendedor].[Nome do Vendedor]" caption="Nome do Vendedor" attribute="1" defaultMemberUniqueName="[TB_Vendedor].[Nome do Vendedor].[All]" allUniqueName="[TB_Vendedor].[Nome do Vendedor].[All]" dimensionUniqueName="[TB_Vendedor]" displayFolder="" count="0" memberValueDatatype="130" unbalanced="0"/>
    <cacheHierarchy uniqueName="[TB_Vendedor].[Região]" caption="Região" attribute="1" defaultMemberUniqueName="[TB_Vendedor].[Região].[All]" allUniqueName="[TB_Vendedor].[Região].[All]" dimensionUniqueName="[TB_Vendedor]" displayFolder="" count="0" memberValueDatatype="130" unbalanced="0"/>
    <cacheHierarchy uniqueName="[TB_Vendedor].[Quantidade Vendida]" caption="Quantidade Vendida" attribute="1" defaultMemberUniqueName="[TB_Vendedor].[Quantidade Vendida].[All]" allUniqueName="[TB_Vendedor].[Quantidade Vendida].[All]" dimensionUniqueName="[TB_Vendedor]" displayFolder="" count="0" memberValueDatatype="20" unbalanced="0"/>
    <cacheHierarchy uniqueName="[TB_Vendedor].[Número de Vendas]" caption="Número de Vendas" attribute="1" defaultMemberUniqueName="[TB_Vendedor].[Número de Vendas].[All]" allUniqueName="[TB_Vendedor].[Número de Vendas].[All]" dimensionUniqueName="[TB_Vendedor]" displayFolder="" count="0" memberValueDatatype="20" unbalanced="0"/>
    <cacheHierarchy uniqueName="[TB_Vendedor].[Número Vendas Calçado]" caption="Número Vendas Calçado" attribute="1" defaultMemberUniqueName="[TB_Vendedor].[Número Vendas Calçado].[All]" allUniqueName="[TB_Vendedor].[Número Vendas Calçado].[All]" dimensionUniqueName="[TB_Vendedor]" displayFolder="" count="0" memberValueDatatype="20" unbalanced="0"/>
    <cacheHierarchy uniqueName="[TB_Venda].[Data da Venda (Índice de Mês)]" caption="Data da Venda (Índice de Mês)" attribute="1" defaultMemberUniqueName="[TB_Venda].[Data da Venda (Índice de Mês)].[All]" allUniqueName="[TB_Venda].[Data da Venda (Índice de Mês)].[All]" dimensionUniqueName="[TB_Venda]" displayFolder="" count="0" memberValueDatatype="20" unbalanced="0" hidden="1"/>
    <cacheHierarchy uniqueName="[Measures].[__XL_Count TB_Venda]" caption="__XL_Count TB_Venda" measure="1" displayFolder="" measureGroup="TB_Venda" count="0" hidden="1"/>
    <cacheHierarchy uniqueName="[Measures].[__XL_Count TB_Vendedor]" caption="__XL_Count TB_Vendedor" measure="1" displayFolder="" measureGroup="TB_Vendedor" count="0" hidden="1"/>
    <cacheHierarchy uniqueName="[Measures].[__No measures defined]" caption="__No measures defined" measure="1" displayFolder="" count="0" hidden="1"/>
    <cacheHierarchy uniqueName="[Measures].[Soma de Quantidade Vendida]" caption="Soma de Quantidade Vendida" measure="1" displayFolder="" measureGroup="TB_Vend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19636620"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5845.062291666669" backgroundQuery="1" createdVersion="3" refreshedVersion="8" minRefreshableVersion="3" recordCount="0" supportSubquery="1" supportAdvancedDrill="1" xr:uid="{B92BCC33-13E9-42FE-9616-6DCD56241369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2">
    <cacheHierarchy uniqueName="[TB_Venda].[Número NF]" caption="Número NF" attribute="1" defaultMemberUniqueName="[TB_Venda].[Número NF].[All]" allUniqueName="[TB_Venda].[Número NF].[All]" dimensionUniqueName="[TB_Venda]" displayFolder="" count="0" memberValueDatatype="130" unbalanced="0"/>
    <cacheHierarchy uniqueName="[TB_Venda].[Data da Venda]" caption="Data da Venda" attribute="1" time="1" defaultMemberUniqueName="[TB_Venda].[Data da Venda].[All]" allUniqueName="[TB_Venda].[Data da Venda].[All]" dimensionUniqueName="[TB_Venda]" displayFolder="" count="2" memberValueDatatype="7" unbalanced="0"/>
    <cacheHierarchy uniqueName="[TB_Venda].[Código do Produto]" caption="Código do Produto" attribute="1" defaultMemberUniqueName="[TB_Venda].[Código do Produto].[All]" allUniqueName="[TB_Venda].[Código do Produto].[All]" dimensionUniqueName="[TB_Venda]" displayFolder="" count="0" memberValueDatatype="130" unbalanced="0"/>
    <cacheHierarchy uniqueName="[TB_Venda].[Nome do Produto]" caption="Nome do Produto" attribute="1" defaultMemberUniqueName="[TB_Venda].[Nome do Produto].[All]" allUniqueName="[TB_Venda].[Nome do Produto].[All]" dimensionUniqueName="[TB_Venda]" displayFolder="" count="0" memberValueDatatype="130" unbalanced="0"/>
    <cacheHierarchy uniqueName="[TB_Venda].[Categoria]" caption="Categoria" attribute="1" defaultMemberUniqueName="[TB_Venda].[Categoria].[All]" allUniqueName="[TB_Venda].[Categoria].[All]" dimensionUniqueName="[TB_Venda]" displayFolder="" count="0" memberValueDatatype="130" unbalanced="0"/>
    <cacheHierarchy uniqueName="[TB_Venda].[Categoria Simplificada]" caption="Categoria Simplificada" attribute="1" defaultMemberUniqueName="[TB_Venda].[Categoria Simplificada].[All]" allUniqueName="[TB_Venda].[Categoria Simplificada].[All]" dimensionUniqueName="[TB_Venda]" displayFolder="" count="0" memberValueDatatype="130" unbalanced="0"/>
    <cacheHierarchy uniqueName="[TB_Venda].[Matrícula do Vendedor]" caption="Matrícula do Vendedor" attribute="1" defaultMemberUniqueName="[TB_Venda].[Matrícula do Vendedor].[All]" allUniqueName="[TB_Venda].[Matrícula do Vendedor].[All]" dimensionUniqueName="[TB_Venda]" displayFolder="" count="0" memberValueDatatype="130" unbalanced="0"/>
    <cacheHierarchy uniqueName="[TB_Venda].[Quantidade Vendida]" caption="Quantidade Vendida" attribute="1" defaultMemberUniqueName="[TB_Venda].[Quantidade Vendida].[All]" allUniqueName="[TB_Venda].[Quantidade Vendida].[All]" dimensionUniqueName="[TB_Venda]" displayFolder="" count="0" memberValueDatatype="20" unbalanced="0"/>
    <cacheHierarchy uniqueName="[TB_Venda].[Preço Unitário de Venda (R$)]" caption="Preço Unitário de Venda (R$)" attribute="1" defaultMemberUniqueName="[TB_Venda].[Preço Unitário de Venda (R$)].[All]" allUniqueName="[TB_Venda].[Preço Unitário de Venda (R$)].[All]" dimensionUniqueName="[TB_Venda]" displayFolder="" count="0" memberValueDatatype="5" unbalanced="0"/>
    <cacheHierarchy uniqueName="[TB_Venda].[Região da Venda]" caption="Região da Venda" attribute="1" defaultMemberUniqueName="[TB_Venda].[Região da Venda].[All]" allUniqueName="[TB_Venda].[Região da Venda].[All]" dimensionUniqueName="[TB_Venda]" displayFolder="" count="0" memberValueDatatype="130" unbalanced="0"/>
    <cacheHierarchy uniqueName="[TB_Venda].[Data da Venda (Mês)]" caption="Data da Venda (Mês)" attribute="1" defaultMemberUniqueName="[TB_Venda].[Data da Venda (Mês)].[All]" allUniqueName="[TB_Venda].[Data da Venda (Mês)].[All]" dimensionUniqueName="[TB_Venda]" displayFolder="" count="0" memberValueDatatype="130" unbalanced="0"/>
    <cacheHierarchy uniqueName="[TB_Vendedor].[Matrícula]" caption="Matrícula" attribute="1" defaultMemberUniqueName="[TB_Vendedor].[Matrícula].[All]" allUniqueName="[TB_Vendedor].[Matrícula].[All]" dimensionUniqueName="[TB_Vendedor]" displayFolder="" count="0" memberValueDatatype="130" unbalanced="0"/>
    <cacheHierarchy uniqueName="[TB_Vendedor].[Nome do Vendedor]" caption="Nome do Vendedor" attribute="1" defaultMemberUniqueName="[TB_Vendedor].[Nome do Vendedor].[All]" allUniqueName="[TB_Vendedor].[Nome do Vendedor].[All]" dimensionUniqueName="[TB_Vendedor]" displayFolder="" count="0" memberValueDatatype="130" unbalanced="0"/>
    <cacheHierarchy uniqueName="[TB_Vendedor].[Região]" caption="Região" attribute="1" defaultMemberUniqueName="[TB_Vendedor].[Região].[All]" allUniqueName="[TB_Vendedor].[Região].[All]" dimensionUniqueName="[TB_Vendedor]" displayFolder="" count="0" memberValueDatatype="130" unbalanced="0"/>
    <cacheHierarchy uniqueName="[TB_Vendedor].[Quantidade Vendida]" caption="Quantidade Vendida" attribute="1" defaultMemberUniqueName="[TB_Vendedor].[Quantidade Vendida].[All]" allUniqueName="[TB_Vendedor].[Quantidade Vendida].[All]" dimensionUniqueName="[TB_Vendedor]" displayFolder="" count="0" memberValueDatatype="20" unbalanced="0"/>
    <cacheHierarchy uniqueName="[TB_Vendedor].[Número de Vendas]" caption="Número de Vendas" attribute="1" defaultMemberUniqueName="[TB_Vendedor].[Número de Vendas].[All]" allUniqueName="[TB_Vendedor].[Número de Vendas].[All]" dimensionUniqueName="[TB_Vendedor]" displayFolder="" count="0" memberValueDatatype="20" unbalanced="0"/>
    <cacheHierarchy uniqueName="[TB_Vendedor].[Número Vendas Calçado]" caption="Número Vendas Calçado" attribute="1" defaultMemberUniqueName="[TB_Vendedor].[Número Vendas Calçado].[All]" allUniqueName="[TB_Vendedor].[Número Vendas Calçado].[All]" dimensionUniqueName="[TB_Vendedor]" displayFolder="" count="0" memberValueDatatype="20" unbalanced="0"/>
    <cacheHierarchy uniqueName="[TB_Venda].[Data da Venda (Índice de Mês)]" caption="Data da Venda (Índice de Mês)" attribute="1" defaultMemberUniqueName="[TB_Venda].[Data da Venda (Índice de Mês)].[All]" allUniqueName="[TB_Venda].[Data da Venda (Índice de Mês)].[All]" dimensionUniqueName="[TB_Venda]" displayFolder="" count="0" memberValueDatatype="20" unbalanced="0" hidden="1"/>
    <cacheHierarchy uniqueName="[Measures].[__XL_Count TB_Venda]" caption="__XL_Count TB_Venda" measure="1" displayFolder="" measureGroup="TB_Venda" count="0" hidden="1"/>
    <cacheHierarchy uniqueName="[Measures].[__XL_Count TB_Vendedor]" caption="__XL_Count TB_Vendedor" measure="1" displayFolder="" measureGroup="TB_Vendedor" count="0" hidden="1"/>
    <cacheHierarchy uniqueName="[Measures].[__No measures defined]" caption="__No measures defined" measure="1" displayFolder="" count="0" hidden="1"/>
    <cacheHierarchy uniqueName="[Measures].[Soma de Quantidade Vendida]" caption="Soma de Quantidade Vendida" measure="1" displayFolder="" measureGroup="TB_Vend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81254316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55A8C-5AFF-48D7-824D-E5DE3DCFE74F}" name="Tabela dinâmica29" cacheId="42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1:B3" firstHeaderRow="1" firstDataRow="1" firstDataCol="1"/>
  <pivotFields count="4">
    <pivotField axis="axisRow" allDrilled="1" subtotalTop="0" showAll="0" dataSourceSort="1" defaultSubtotal="0">
      <items count="1">
        <item x="0" e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dataSourceSort="1" defaultSubtotal="0" defaultAttributeDrillState="1"/>
  </pivotFields>
  <rowFields count="2">
    <field x="0"/>
    <field x="2"/>
  </rowFields>
  <rowItems count="2">
    <i>
      <x/>
    </i>
    <i t="grand">
      <x/>
    </i>
  </rowItems>
  <colItems count="1">
    <i/>
  </colItems>
  <dataFields count="1">
    <dataField name="Soma de Quantidade Vendida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20" name="[TB_Venda].[Data da Venda]">
      <autoFilter ref="A1">
        <filterColumn colId="0">
          <customFilters and="1">
            <customFilter operator="greaterThanOrEqual" val="45717"/>
            <customFilter operator="lessThanOrEqual" val="457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10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a]"/>
        <x15:activeTabTopLevelEntity name="[TB_Vende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8BB5F-C934-416D-BDB4-F9E2B65CA990}" name="Tabela dinâmica28" cacheId="36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3">
  <location ref="A3:B9" firstHeaderRow="1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Row" allDrilled="1" subtotalTop="0" showAll="0" sortType="descending" defaultSubtotal="0">
      <items count="5">
        <item x="4" e="0"/>
        <item x="3" e="0"/>
        <item x="2" e="0"/>
        <item x="1" e="0"/>
        <item x="0" e="0"/>
      </items>
    </pivotField>
  </pivotFields>
  <rowFields count="2">
    <field x="2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Quantidade Vendida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edor]"/>
        <x15:activeTabTopLevelEntity name="[TB_Vend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_da_Venda" xr10:uid="{F3F942DD-F062-4AD4-930C-F3D52F982BA8}" sourceName="[TB_Venda].[Região da Venda]">
  <pivotTables>
    <pivotTable tabId="9" name="Tabela dinâmica28"/>
  </pivotTables>
  <data>
    <olap pivotCacheId="119636620">
      <levels count="2">
        <level uniqueName="[TB_Venda].[Região da Venda].[(All)]" sourceCaption="(All)" count="0"/>
        <level uniqueName="[TB_Venda].[Região da Venda].[Região da Venda]" sourceCaption="Região da Venda" count="5">
          <ranges>
            <range startItem="0">
              <i n="[TB_Venda].[Região da Venda].&amp;[Centro-Oeste]" c="Centro-Oeste"/>
              <i n="[TB_Venda].[Região da Venda].&amp;[Nordeste]" c="Nordeste"/>
              <i n="[TB_Venda].[Região da Venda].&amp;[Norte]" c="Norte"/>
              <i n="[TB_Venda].[Região da Venda].&amp;[Sudeste]" c="Sudeste"/>
              <i n="[TB_Venda].[Região da Venda].&amp;[Sul]" c="Sul"/>
            </range>
          </ranges>
        </level>
      </levels>
      <selections count="1">
        <selection n="[TB_Venda].[Região da Vend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 da Venda" xr10:uid="{4129E0A2-1B51-4E77-986D-DB542019F1CF}" cache="SegmentaçãodeDados_Região_da_Venda" caption="Região da Venda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42BCF-5C1E-425B-9D51-7D29A0B8A9AD}" name="TB_Produto" displayName="TB_Produto" ref="A1:E31" totalsRowShown="0" headerRowDxfId="11">
  <autoFilter ref="A1:E31" xr:uid="{D6542BCF-5C1E-425B-9D51-7D29A0B8A9AD}"/>
  <tableColumns count="5">
    <tableColumn id="1" xr3:uid="{FC439706-967B-4659-AFFB-3516BA2BC9BB}" name="Código"/>
    <tableColumn id="2" xr3:uid="{48922EEB-9B3E-4C6A-A6C6-3D8CD4A7954D}" name="Nome do Produto"/>
    <tableColumn id="3" xr3:uid="{7DCBF308-038F-4D75-A32C-6C116074B7A2}" name="Categoria"/>
    <tableColumn id="4" xr3:uid="{3B5BE296-6722-4053-8AAB-93A799C213BA}" name="Preço Unitário (R$)"/>
    <tableColumn id="5" xr3:uid="{23A9CD9A-94E8-4459-B94E-62D5077789CB}" name="Em Estoqu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EC3F31-1B28-4E25-904C-E1E666E491F4}" name="TB_Venda" displayName="TB_Venda" ref="A1:J299" totalsRowShown="0" headerRowDxfId="9">
  <autoFilter ref="A1:J299" xr:uid="{C4EC3F31-1B28-4E25-904C-E1E666E491F4}"/>
  <tableColumns count="10">
    <tableColumn id="1" xr3:uid="{5496580A-617F-4133-8E7A-9B7B30893B58}" name="Número NF"/>
    <tableColumn id="2" xr3:uid="{D47FFBF6-88E3-4039-B73E-B3EB1160B415}" name="Data da Venda" dataDxfId="8"/>
    <tableColumn id="3" xr3:uid="{A652CBC2-A322-419E-94EA-43E631E4BFE6}" name="Código do Produto"/>
    <tableColumn id="8" xr3:uid="{AF5C68CD-ED1A-4C49-9A1A-D973E1BB2B9F}" name="Nome do Produto" dataDxfId="7">
      <calculatedColumnFormula>_xlfn.XLOOKUP(TB_Venda[[#This Row],[Código do Produto]],TB_Produto[Código],TB_Produto[Nome do Produto])</calculatedColumnFormula>
    </tableColumn>
    <tableColumn id="9" xr3:uid="{6F4C3913-BB8D-4AB9-ACE3-5270331B5F5F}" name="Categoria" dataDxfId="6">
      <calculatedColumnFormula>VLOOKUP(TB_Venda[[#This Row],[Código do Produto]],TB_Produto[],3,FALSE)</calculatedColumnFormula>
    </tableColumn>
    <tableColumn id="12" xr3:uid="{F0AAB22A-108F-4CBB-A57B-7987DEA4FA6A}" name="Categoria Simplificada" dataDxfId="5">
      <calculatedColumnFormula array="1">_xlfn.IFS(LEFT(TB_Venda[[#This Row],[Categoria]],5)="Roupa","Roupa",LEFT(TB_Venda[[#This Row],[Categoria]],7)="Calçado","Calçado",1,"Outros")</calculatedColumnFormula>
    </tableColumn>
    <tableColumn id="4" xr3:uid="{E01E2CE0-FF7A-4ED9-8F7F-23E8F410A0FE}" name="Matrícula do Vendedor"/>
    <tableColumn id="5" xr3:uid="{E451EE32-06CF-4DC9-A522-211594916012}" name="Quantidade Vendida" dataDxfId="4"/>
    <tableColumn id="6" xr3:uid="{FB4B09E3-00C2-4331-B9DC-E94F0CA1B1DE}" name="Preço Unitário de Venda (R$)" dataDxfId="3"/>
    <tableColumn id="7" xr3:uid="{B0D6642D-5E08-4ED3-AA51-A2C91A1905E3}" name="Região da Venda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C282F5-4D63-4DB1-85BA-907D441D5070}" name="TB_Vendedor" displayName="TB_Vendedor" ref="A1:F11" totalsRowShown="0" headerRowDxfId="10">
  <autoFilter ref="A1:F11" xr:uid="{C5C282F5-4D63-4DB1-85BA-907D441D5070}"/>
  <sortState xmlns:xlrd2="http://schemas.microsoft.com/office/spreadsheetml/2017/richdata2" ref="A2:F11">
    <sortCondition ref="D1:D11"/>
  </sortState>
  <tableColumns count="6">
    <tableColumn id="1" xr3:uid="{3D1C23B7-4F9B-4D24-BC54-1049A3598AAA}" name="Matrícula"/>
    <tableColumn id="2" xr3:uid="{2E5289DC-2866-4D91-A540-2393D09AC599}" name="Nome do Vendedor"/>
    <tableColumn id="3" xr3:uid="{E07BC3CB-404F-4691-A5BE-7E4D0909092E}" name="Região"/>
    <tableColumn id="4" xr3:uid="{D651FCDF-5405-4724-AB34-520B4239945B}" name="Quantidade Vendida" dataDxfId="2">
      <calculatedColumnFormula>SUMIF(TB_Venda[Matrícula do Vendedor],TB_Vendedor[[#This Row],[Matrícula]],TB_Venda[Quantidade Vendida])</calculatedColumnFormula>
    </tableColumn>
    <tableColumn id="5" xr3:uid="{6D0A5D0C-D933-4A2F-9E50-2A09723DDFC8}" name="Número de Vendas" dataDxfId="1">
      <calculatedColumnFormula>COUNTIF(TB_Venda[Matrícula do Vendedor],TB_Vendedor[[#This Row],[Matrícula]])</calculatedColumnFormula>
    </tableColumn>
    <tableColumn id="6" xr3:uid="{ED2B85DC-D626-421E-A09D-5BA57032A821}" name="Número Vendas Calçado" dataDxfId="0">
      <calculatedColumnFormula>COUNTIFS(TB_Venda[Matrícula do Vendedor],TB_Vendedor[[#This Row],[Matrícula]],TB_Venda[Categoria Simplificada],"Calçado")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a_da_Venda" xr10:uid="{61D274C8-36A4-4A4F-BDCA-98674E2B4630}" sourceName="[TB_Venda].[Data da Venda]">
  <pivotTables>
    <pivotTable tabId="10" name="Tabela dinâmica29"/>
  </pivotTables>
  <state minimalRefreshVersion="6" lastRefreshVersion="6" pivotCacheId="812543161" filterType="dateBetween">
    <selection startDate="2025-03-01T00:00:00" endDate="2025-03-31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da Venda" xr10:uid="{F4C5C1F6-CB5F-44FD-A7F1-98687D409814}" cache="Timeline_Data_da_Venda" caption="Data da Venda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E0000"/>
  </sheetPr>
  <dimension ref="A1:E31"/>
  <sheetViews>
    <sheetView zoomScale="140" zoomScaleNormal="140" workbookViewId="0">
      <selection activeCell="D4" sqref="D4"/>
    </sheetView>
  </sheetViews>
  <sheetFormatPr defaultColWidth="9.140625" defaultRowHeight="15" x14ac:dyDescent="0.25"/>
  <cols>
    <col min="1" max="1" width="11.7109375" customWidth="1"/>
    <col min="2" max="2" width="20.28515625" bestFit="1" customWidth="1"/>
    <col min="3" max="3" width="17.7109375" bestFit="1" customWidth="1"/>
    <col min="4" max="4" width="22" customWidth="1"/>
    <col min="5" max="5" width="19" customWidth="1"/>
    <col min="7" max="7" width="14.5703125" bestFit="1" customWidth="1"/>
  </cols>
  <sheetData>
    <row r="1" spans="1:5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t="s">
        <v>5</v>
      </c>
      <c r="B2" t="s">
        <v>35</v>
      </c>
      <c r="C2" t="s">
        <v>65</v>
      </c>
      <c r="D2">
        <v>461.98</v>
      </c>
      <c r="E2">
        <v>42</v>
      </c>
    </row>
    <row r="3" spans="1:5" x14ac:dyDescent="0.25">
      <c r="A3" t="s">
        <v>6</v>
      </c>
      <c r="B3" t="s">
        <v>36</v>
      </c>
      <c r="C3" t="s">
        <v>403</v>
      </c>
      <c r="D3">
        <v>270.82</v>
      </c>
      <c r="E3">
        <v>64</v>
      </c>
    </row>
    <row r="4" spans="1:5" x14ac:dyDescent="0.25">
      <c r="A4" t="s">
        <v>7</v>
      </c>
      <c r="B4" t="s">
        <v>37</v>
      </c>
      <c r="C4" t="s">
        <v>67</v>
      </c>
      <c r="D4">
        <v>290.73</v>
      </c>
      <c r="E4">
        <v>146</v>
      </c>
    </row>
    <row r="5" spans="1:5" x14ac:dyDescent="0.25">
      <c r="A5" t="s">
        <v>8</v>
      </c>
      <c r="B5" t="s">
        <v>38</v>
      </c>
      <c r="C5" t="s">
        <v>65</v>
      </c>
      <c r="D5">
        <v>420.93</v>
      </c>
      <c r="E5">
        <v>79</v>
      </c>
    </row>
    <row r="6" spans="1:5" x14ac:dyDescent="0.25">
      <c r="A6" t="s">
        <v>9</v>
      </c>
      <c r="B6" t="s">
        <v>39</v>
      </c>
      <c r="C6" t="s">
        <v>67</v>
      </c>
      <c r="D6">
        <v>80.680000000000007</v>
      </c>
      <c r="E6">
        <v>0</v>
      </c>
    </row>
    <row r="7" spans="1:5" x14ac:dyDescent="0.25">
      <c r="A7" t="s">
        <v>10</v>
      </c>
      <c r="B7" t="s">
        <v>40</v>
      </c>
      <c r="C7" t="s">
        <v>68</v>
      </c>
      <c r="D7">
        <v>269.95999999999998</v>
      </c>
      <c r="E7">
        <v>5</v>
      </c>
    </row>
    <row r="8" spans="1:5" x14ac:dyDescent="0.25">
      <c r="A8" t="s">
        <v>11</v>
      </c>
      <c r="B8" t="s">
        <v>41</v>
      </c>
      <c r="C8" t="s">
        <v>65</v>
      </c>
      <c r="D8">
        <v>136.57</v>
      </c>
      <c r="E8">
        <v>141</v>
      </c>
    </row>
    <row r="9" spans="1:5" x14ac:dyDescent="0.25">
      <c r="A9" t="s">
        <v>12</v>
      </c>
      <c r="B9" t="s">
        <v>42</v>
      </c>
      <c r="C9" t="s">
        <v>66</v>
      </c>
      <c r="D9">
        <v>243.31</v>
      </c>
      <c r="E9">
        <v>87</v>
      </c>
    </row>
    <row r="10" spans="1:5" x14ac:dyDescent="0.25">
      <c r="A10" t="s">
        <v>13</v>
      </c>
      <c r="B10" t="s">
        <v>43</v>
      </c>
      <c r="C10" t="s">
        <v>67</v>
      </c>
      <c r="D10">
        <v>208.26</v>
      </c>
      <c r="E10">
        <v>110</v>
      </c>
    </row>
    <row r="11" spans="1:5" x14ac:dyDescent="0.25">
      <c r="A11" t="s">
        <v>14</v>
      </c>
      <c r="B11" t="s">
        <v>44</v>
      </c>
      <c r="C11" t="s">
        <v>68</v>
      </c>
      <c r="D11">
        <v>177.72</v>
      </c>
      <c r="E11">
        <v>4</v>
      </c>
    </row>
    <row r="12" spans="1:5" x14ac:dyDescent="0.25">
      <c r="A12" t="s">
        <v>15</v>
      </c>
      <c r="B12" t="s">
        <v>45</v>
      </c>
      <c r="C12" t="s">
        <v>65</v>
      </c>
      <c r="D12">
        <v>494.2</v>
      </c>
      <c r="E12">
        <v>34</v>
      </c>
    </row>
    <row r="13" spans="1:5" x14ac:dyDescent="0.25">
      <c r="A13" t="s">
        <v>16</v>
      </c>
      <c r="B13" t="s">
        <v>46</v>
      </c>
      <c r="C13" t="s">
        <v>67</v>
      </c>
      <c r="D13">
        <v>223.07</v>
      </c>
      <c r="E13">
        <v>68</v>
      </c>
    </row>
    <row r="14" spans="1:5" x14ac:dyDescent="0.25">
      <c r="A14" t="s">
        <v>17</v>
      </c>
      <c r="B14" t="s">
        <v>47</v>
      </c>
      <c r="C14" t="s">
        <v>65</v>
      </c>
      <c r="D14">
        <v>250.37</v>
      </c>
      <c r="E14">
        <v>1</v>
      </c>
    </row>
    <row r="15" spans="1:5" x14ac:dyDescent="0.25">
      <c r="A15" t="s">
        <v>18</v>
      </c>
      <c r="B15" t="s">
        <v>48</v>
      </c>
      <c r="C15" t="s">
        <v>66</v>
      </c>
      <c r="D15">
        <v>425.04</v>
      </c>
      <c r="E15">
        <v>86</v>
      </c>
    </row>
    <row r="16" spans="1:5" x14ac:dyDescent="0.25">
      <c r="A16" t="s">
        <v>19</v>
      </c>
      <c r="B16" t="s">
        <v>49</v>
      </c>
      <c r="C16" t="s">
        <v>67</v>
      </c>
      <c r="D16">
        <v>147.86000000000001</v>
      </c>
      <c r="E16">
        <v>11</v>
      </c>
    </row>
    <row r="17" spans="1:5" x14ac:dyDescent="0.25">
      <c r="A17" t="s">
        <v>20</v>
      </c>
      <c r="B17" t="s">
        <v>50</v>
      </c>
      <c r="C17" t="s">
        <v>66</v>
      </c>
      <c r="D17">
        <v>447.68</v>
      </c>
      <c r="E17">
        <v>126</v>
      </c>
    </row>
    <row r="18" spans="1:5" x14ac:dyDescent="0.25">
      <c r="A18" t="s">
        <v>21</v>
      </c>
      <c r="B18" t="s">
        <v>51</v>
      </c>
      <c r="C18" t="s">
        <v>67</v>
      </c>
      <c r="D18">
        <v>485.16</v>
      </c>
      <c r="E18">
        <v>43</v>
      </c>
    </row>
    <row r="19" spans="1:5" x14ac:dyDescent="0.25">
      <c r="A19" t="s">
        <v>22</v>
      </c>
      <c r="B19" t="s">
        <v>52</v>
      </c>
      <c r="C19" t="s">
        <v>65</v>
      </c>
      <c r="D19">
        <v>80.69</v>
      </c>
      <c r="E19">
        <v>64</v>
      </c>
    </row>
    <row r="20" spans="1:5" x14ac:dyDescent="0.25">
      <c r="A20" t="s">
        <v>23</v>
      </c>
      <c r="B20" t="s">
        <v>53</v>
      </c>
      <c r="C20" t="s">
        <v>68</v>
      </c>
      <c r="D20">
        <v>211.05</v>
      </c>
      <c r="E20">
        <v>85</v>
      </c>
    </row>
    <row r="21" spans="1:5" x14ac:dyDescent="0.25">
      <c r="A21" t="s">
        <v>24</v>
      </c>
      <c r="B21" t="s">
        <v>54</v>
      </c>
      <c r="C21" t="s">
        <v>68</v>
      </c>
      <c r="D21">
        <v>369.12</v>
      </c>
      <c r="E21">
        <v>141</v>
      </c>
    </row>
    <row r="22" spans="1:5" x14ac:dyDescent="0.25">
      <c r="A22" t="s">
        <v>25</v>
      </c>
      <c r="B22" t="s">
        <v>55</v>
      </c>
      <c r="C22" t="s">
        <v>68</v>
      </c>
      <c r="D22">
        <v>157.28</v>
      </c>
      <c r="E22">
        <v>143</v>
      </c>
    </row>
    <row r="23" spans="1:5" x14ac:dyDescent="0.25">
      <c r="A23" t="s">
        <v>26</v>
      </c>
      <c r="B23" t="s">
        <v>56</v>
      </c>
      <c r="C23" t="s">
        <v>65</v>
      </c>
      <c r="D23">
        <v>402.52</v>
      </c>
      <c r="E23">
        <v>124</v>
      </c>
    </row>
    <row r="24" spans="1:5" x14ac:dyDescent="0.25">
      <c r="A24" t="s">
        <v>27</v>
      </c>
      <c r="B24" t="s">
        <v>57</v>
      </c>
      <c r="C24" t="s">
        <v>67</v>
      </c>
      <c r="D24">
        <v>85.13</v>
      </c>
      <c r="E24">
        <v>109</v>
      </c>
    </row>
    <row r="25" spans="1:5" x14ac:dyDescent="0.25">
      <c r="A25" t="s">
        <v>28</v>
      </c>
      <c r="B25" t="s">
        <v>58</v>
      </c>
      <c r="C25" t="s">
        <v>67</v>
      </c>
      <c r="D25">
        <v>365.69</v>
      </c>
      <c r="E25">
        <v>95</v>
      </c>
    </row>
    <row r="26" spans="1:5" x14ac:dyDescent="0.25">
      <c r="A26" t="s">
        <v>29</v>
      </c>
      <c r="B26" t="s">
        <v>59</v>
      </c>
      <c r="C26" t="s">
        <v>66</v>
      </c>
      <c r="D26">
        <v>218.21</v>
      </c>
      <c r="E26">
        <v>30</v>
      </c>
    </row>
    <row r="27" spans="1:5" x14ac:dyDescent="0.25">
      <c r="A27" t="s">
        <v>30</v>
      </c>
      <c r="B27" t="s">
        <v>60</v>
      </c>
      <c r="C27" t="s">
        <v>65</v>
      </c>
      <c r="D27">
        <v>160.86000000000001</v>
      </c>
      <c r="E27">
        <v>132</v>
      </c>
    </row>
    <row r="28" spans="1:5" x14ac:dyDescent="0.25">
      <c r="A28" t="s">
        <v>31</v>
      </c>
      <c r="B28" t="s">
        <v>61</v>
      </c>
      <c r="C28" t="s">
        <v>65</v>
      </c>
      <c r="D28">
        <v>285.43</v>
      </c>
      <c r="E28">
        <v>110</v>
      </c>
    </row>
    <row r="29" spans="1:5" x14ac:dyDescent="0.25">
      <c r="A29" t="s">
        <v>32</v>
      </c>
      <c r="B29" t="s">
        <v>62</v>
      </c>
      <c r="C29" t="s">
        <v>65</v>
      </c>
      <c r="D29">
        <v>154.47999999999999</v>
      </c>
      <c r="E29">
        <v>59</v>
      </c>
    </row>
    <row r="30" spans="1:5" x14ac:dyDescent="0.25">
      <c r="A30" t="s">
        <v>33</v>
      </c>
      <c r="B30" t="s">
        <v>63</v>
      </c>
      <c r="C30" t="s">
        <v>66</v>
      </c>
      <c r="D30">
        <v>94.84</v>
      </c>
      <c r="E30">
        <v>100</v>
      </c>
    </row>
    <row r="31" spans="1:5" x14ac:dyDescent="0.25">
      <c r="A31" t="s">
        <v>34</v>
      </c>
      <c r="B31" t="s">
        <v>64</v>
      </c>
      <c r="C31" t="s">
        <v>67</v>
      </c>
      <c r="D31">
        <v>329.99</v>
      </c>
      <c r="E31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E0000"/>
  </sheetPr>
  <dimension ref="A1:J299"/>
  <sheetViews>
    <sheetView topLeftCell="A2" zoomScaleNormal="100" workbookViewId="0">
      <selection activeCell="C9" sqref="C9"/>
    </sheetView>
  </sheetViews>
  <sheetFormatPr defaultColWidth="9.140625" defaultRowHeight="15" x14ac:dyDescent="0.25"/>
  <cols>
    <col min="1" max="1" width="12.42578125" customWidth="1"/>
    <col min="2" max="2" width="15.140625" style="2" customWidth="1"/>
    <col min="3" max="3" width="22.140625" customWidth="1"/>
    <col min="4" max="5" width="24.7109375" customWidth="1"/>
    <col min="6" max="6" width="26.5703125" customWidth="1"/>
    <col min="7" max="7" width="23" customWidth="1"/>
    <col min="8" max="8" width="20.28515625" style="1" customWidth="1"/>
    <col min="9" max="9" width="26.7109375" style="4" customWidth="1"/>
    <col min="10" max="10" width="21.85546875" customWidth="1"/>
  </cols>
  <sheetData>
    <row r="1" spans="1:10" s="6" customFormat="1" x14ac:dyDescent="0.25">
      <c r="A1" s="5" t="s">
        <v>97</v>
      </c>
      <c r="B1" s="7" t="s">
        <v>98</v>
      </c>
      <c r="C1" s="5" t="s">
        <v>99</v>
      </c>
      <c r="D1" s="5" t="s">
        <v>1</v>
      </c>
      <c r="E1" s="5" t="s">
        <v>2</v>
      </c>
      <c r="F1" s="5" t="s">
        <v>402</v>
      </c>
      <c r="G1" s="5" t="s">
        <v>100</v>
      </c>
      <c r="H1" s="5" t="s">
        <v>101</v>
      </c>
      <c r="I1" s="8" t="s">
        <v>401</v>
      </c>
      <c r="J1" s="5" t="s">
        <v>102</v>
      </c>
    </row>
    <row r="2" spans="1:10" x14ac:dyDescent="0.25">
      <c r="A2" t="s">
        <v>103</v>
      </c>
      <c r="B2" s="3">
        <v>45718</v>
      </c>
      <c r="C2" t="s">
        <v>34</v>
      </c>
      <c r="D2" t="str">
        <f>_xlfn.XLOOKUP(TB_Venda[[#This Row],[Código do Produto]],TB_Produto[Código],TB_Produto[Nome do Produto])</f>
        <v>Vestido Estampado</v>
      </c>
      <c r="E2" t="str">
        <f>VLOOKUP(TB_Venda[[#This Row],[Código do Produto]],TB_Produto[],3,FALSE)</f>
        <v>Roupas Femininas</v>
      </c>
      <c r="F2" t="str" cm="1">
        <f t="array" ref="F2">_xlfn.IFS(LEFT(TB_Venda[[#This Row],[Categoria]],5)="Roupa","Roupa",LEFT(TB_Venda[[#This Row],[Categoria]],7)="Calçado","Calçado",1,"Outros")</f>
        <v>Roupa</v>
      </c>
      <c r="G2" t="s">
        <v>79</v>
      </c>
      <c r="H2" s="1">
        <v>4</v>
      </c>
      <c r="I2" s="4">
        <v>303.5908</v>
      </c>
      <c r="J2" t="s">
        <v>96</v>
      </c>
    </row>
    <row r="3" spans="1:10" x14ac:dyDescent="0.25">
      <c r="A3" t="s">
        <v>104</v>
      </c>
      <c r="B3" s="3">
        <v>45732</v>
      </c>
      <c r="C3" t="s">
        <v>5</v>
      </c>
      <c r="D3" t="str">
        <f>_xlfn.XLOOKUP(TB_Venda[[#This Row],[Código do Produto]],TB_Produto[Código],TB_Produto[Nome do Produto])</f>
        <v>Tênis Esportivo</v>
      </c>
      <c r="E3" t="str">
        <f>VLOOKUP(TB_Venda[[#This Row],[Código do Produto]],TB_Produto[],3,FALSE)</f>
        <v>Calçados</v>
      </c>
      <c r="F3" t="str" cm="1">
        <f t="array" ref="F3">_xlfn.IFS(LEFT(TB_Venda[[#This Row],[Categoria]],5)="Roupa","Roupa",LEFT(TB_Venda[[#This Row],[Categoria]],7)="Calçado","Calçado",1,"Outros")</f>
        <v>Calçado</v>
      </c>
      <c r="G3" t="s">
        <v>76</v>
      </c>
      <c r="H3" s="1">
        <v>3</v>
      </c>
      <c r="I3" s="4">
        <v>429.64140000000003</v>
      </c>
      <c r="J3" t="s">
        <v>95</v>
      </c>
    </row>
    <row r="4" spans="1:10" x14ac:dyDescent="0.25">
      <c r="A4" t="s">
        <v>105</v>
      </c>
      <c r="B4" s="3">
        <v>45835</v>
      </c>
      <c r="C4" t="s">
        <v>33</v>
      </c>
      <c r="D4" t="str">
        <f>_xlfn.XLOOKUP(TB_Venda[[#This Row],[Código do Produto]],TB_Produto[Código],TB_Produto[Nome do Produto])</f>
        <v>Camisa de Linho</v>
      </c>
      <c r="E4" t="str">
        <f>VLOOKUP(TB_Venda[[#This Row],[Código do Produto]],TB_Produto[],3,FALSE)</f>
        <v>Roupas Masculinas</v>
      </c>
      <c r="F4" t="str" cm="1">
        <f t="array" ref="F4">_xlfn.IFS(LEFT(TB_Venda[[#This Row],[Categoria]],5)="Roupa","Roupa",LEFT(TB_Venda[[#This Row],[Categoria]],7)="Calçado","Calçado",1,"Outros")</f>
        <v>Roupa</v>
      </c>
      <c r="G4" t="s">
        <v>74</v>
      </c>
      <c r="H4" s="1">
        <v>5</v>
      </c>
      <c r="I4" s="4">
        <v>92.943200000000004</v>
      </c>
      <c r="J4" t="s">
        <v>93</v>
      </c>
    </row>
    <row r="5" spans="1:10" x14ac:dyDescent="0.25">
      <c r="A5" t="s">
        <v>106</v>
      </c>
      <c r="B5" s="3">
        <v>45722</v>
      </c>
      <c r="C5" t="s">
        <v>13</v>
      </c>
      <c r="D5" t="str">
        <f>_xlfn.XLOOKUP(TB_Venda[[#This Row],[Código do Produto]],TB_Produto[Código],TB_Produto[Nome do Produto])</f>
        <v>Saia Midi</v>
      </c>
      <c r="E5" t="str">
        <f>VLOOKUP(TB_Venda[[#This Row],[Código do Produto]],TB_Produto[],3,FALSE)</f>
        <v>Roupas Femininas</v>
      </c>
      <c r="F5" t="str" cm="1">
        <f t="array" ref="F5">_xlfn.IFS(LEFT(TB_Venda[[#This Row],[Categoria]],5)="Roupa","Roupa",LEFT(TB_Venda[[#This Row],[Categoria]],7)="Calçado","Calçado",1,"Outros")</f>
        <v>Roupa</v>
      </c>
      <c r="G5" t="s">
        <v>75</v>
      </c>
      <c r="H5" s="1">
        <v>3</v>
      </c>
      <c r="I5" s="4">
        <v>204.09479999999999</v>
      </c>
      <c r="J5" t="s">
        <v>94</v>
      </c>
    </row>
    <row r="6" spans="1:10" x14ac:dyDescent="0.25">
      <c r="A6" t="s">
        <v>107</v>
      </c>
      <c r="B6" s="3">
        <v>45771</v>
      </c>
      <c r="C6" t="s">
        <v>34</v>
      </c>
      <c r="D6" t="str">
        <f>_xlfn.XLOOKUP(TB_Venda[[#This Row],[Código do Produto]],TB_Produto[Código],TB_Produto[Nome do Produto])</f>
        <v>Vestido Estampado</v>
      </c>
      <c r="E6" t="str">
        <f>VLOOKUP(TB_Venda[[#This Row],[Código do Produto]],TB_Produto[],3,FALSE)</f>
        <v>Roupas Femininas</v>
      </c>
      <c r="F6" t="str" cm="1">
        <f t="array" ref="F6">_xlfn.IFS(LEFT(TB_Venda[[#This Row],[Categoria]],5)="Roupa","Roupa",LEFT(TB_Venda[[#This Row],[Categoria]],7)="Calçado","Calçado",1,"Outros")</f>
        <v>Roupa</v>
      </c>
      <c r="G6" t="s">
        <v>77</v>
      </c>
      <c r="H6" s="1">
        <v>3</v>
      </c>
      <c r="I6" s="4">
        <v>323.39019999999999</v>
      </c>
      <c r="J6" t="s">
        <v>96</v>
      </c>
    </row>
    <row r="7" spans="1:10" x14ac:dyDescent="0.25">
      <c r="A7" t="s">
        <v>108</v>
      </c>
      <c r="B7" s="3">
        <v>45680</v>
      </c>
      <c r="C7" t="s">
        <v>21</v>
      </c>
      <c r="D7" t="str">
        <f>_xlfn.XLOOKUP(TB_Venda[[#This Row],[Código do Produto]],TB_Produto[Código],TB_Produto[Nome do Produto])</f>
        <v>Blazer Feminino</v>
      </c>
      <c r="E7" t="str">
        <f>VLOOKUP(TB_Venda[[#This Row],[Código do Produto]],TB_Produto[],3,FALSE)</f>
        <v>Roupas Femininas</v>
      </c>
      <c r="F7" t="str" cm="1">
        <f t="array" ref="F7">_xlfn.IFS(LEFT(TB_Venda[[#This Row],[Categoria]],5)="Roupa","Roupa",LEFT(TB_Venda[[#This Row],[Categoria]],7)="Calçado","Calçado",1,"Outros")</f>
        <v>Roupa</v>
      </c>
      <c r="G7" t="s">
        <v>80</v>
      </c>
      <c r="H7" s="1">
        <v>5</v>
      </c>
      <c r="I7" s="4">
        <v>441.49560000000002</v>
      </c>
      <c r="J7" t="s">
        <v>92</v>
      </c>
    </row>
    <row r="8" spans="1:10" x14ac:dyDescent="0.25">
      <c r="A8" t="s">
        <v>109</v>
      </c>
      <c r="B8" s="3">
        <v>45774</v>
      </c>
      <c r="C8" t="s">
        <v>17</v>
      </c>
      <c r="D8" t="str">
        <f>_xlfn.XLOOKUP(TB_Venda[[#This Row],[Código do Produto]],TB_Produto[Código],TB_Produto[Nome do Produto])</f>
        <v>Tênis Casual</v>
      </c>
      <c r="E8" t="str">
        <f>VLOOKUP(TB_Venda[[#This Row],[Código do Produto]],TB_Produto[],3,FALSE)</f>
        <v>Calçados</v>
      </c>
      <c r="F8" t="str" cm="1">
        <f t="array" ref="F8">_xlfn.IFS(LEFT(TB_Venda[[#This Row],[Categoria]],5)="Roupa","Roupa",LEFT(TB_Venda[[#This Row],[Categoria]],7)="Calçado","Calçado",1,"Outros")</f>
        <v>Calçado</v>
      </c>
      <c r="G8" t="s">
        <v>81</v>
      </c>
      <c r="H8" s="1">
        <v>1</v>
      </c>
      <c r="I8" s="4">
        <v>242.85890000000001</v>
      </c>
      <c r="J8" t="s">
        <v>96</v>
      </c>
    </row>
    <row r="9" spans="1:10" x14ac:dyDescent="0.25">
      <c r="A9" t="s">
        <v>110</v>
      </c>
      <c r="B9" s="3">
        <v>45825</v>
      </c>
      <c r="C9" t="s">
        <v>15</v>
      </c>
      <c r="D9" t="str">
        <f>_xlfn.XLOOKUP(TB_Venda[[#This Row],[Código do Produto]],TB_Produto[Código],TB_Produto[Nome do Produto])</f>
        <v>Bota Feminina</v>
      </c>
      <c r="E9" t="str">
        <f>VLOOKUP(TB_Venda[[#This Row],[Código do Produto]],TB_Produto[],3,FALSE)</f>
        <v>Calçados</v>
      </c>
      <c r="F9" t="str" cm="1">
        <f t="array" ref="F9">_xlfn.IFS(LEFT(TB_Venda[[#This Row],[Categoria]],5)="Roupa","Roupa",LEFT(TB_Venda[[#This Row],[Categoria]],7)="Calçado","Calçado",1,"Outros")</f>
        <v>Calçado</v>
      </c>
      <c r="G9" t="s">
        <v>78</v>
      </c>
      <c r="H9" s="1">
        <v>5</v>
      </c>
      <c r="I9" s="4">
        <v>464.548</v>
      </c>
      <c r="J9" t="s">
        <v>95</v>
      </c>
    </row>
    <row r="10" spans="1:10" x14ac:dyDescent="0.25">
      <c r="A10" t="s">
        <v>111</v>
      </c>
      <c r="B10" s="3">
        <v>45833</v>
      </c>
      <c r="C10" t="s">
        <v>20</v>
      </c>
      <c r="D10" t="str">
        <f>_xlfn.XLOOKUP(TB_Venda[[#This Row],[Código do Produto]],TB_Produto[Código],TB_Produto[Nome do Produto])</f>
        <v>Regata Masculina</v>
      </c>
      <c r="E10" t="str">
        <f>VLOOKUP(TB_Venda[[#This Row],[Código do Produto]],TB_Produto[],3,FALSE)</f>
        <v>Roupas Masculinas</v>
      </c>
      <c r="F10" t="str" cm="1">
        <f t="array" ref="F10">_xlfn.IFS(LEFT(TB_Venda[[#This Row],[Categoria]],5)="Roupa","Roupa",LEFT(TB_Venda[[#This Row],[Categoria]],7)="Calçado","Calçado",1,"Outros")</f>
        <v>Roupa</v>
      </c>
      <c r="G10" t="s">
        <v>75</v>
      </c>
      <c r="H10" s="1">
        <v>2</v>
      </c>
      <c r="I10" s="4">
        <v>407.3888</v>
      </c>
      <c r="J10" t="s">
        <v>94</v>
      </c>
    </row>
    <row r="11" spans="1:10" x14ac:dyDescent="0.25">
      <c r="A11" t="s">
        <v>112</v>
      </c>
      <c r="B11" s="3">
        <v>45729</v>
      </c>
      <c r="C11" t="s">
        <v>7</v>
      </c>
      <c r="D11" t="str">
        <f>_xlfn.XLOOKUP(TB_Venda[[#This Row],[Código do Produto]],TB_Produto[Código],TB_Produto[Nome do Produto])</f>
        <v>Blusa de Frio</v>
      </c>
      <c r="E11" t="str">
        <f>VLOOKUP(TB_Venda[[#This Row],[Código do Produto]],TB_Produto[],3,FALSE)</f>
        <v>Roupas Femininas</v>
      </c>
      <c r="F11" t="str" cm="1">
        <f t="array" ref="F11">_xlfn.IFS(LEFT(TB_Venda[[#This Row],[Categoria]],5)="Roupa","Roupa",LEFT(TB_Venda[[#This Row],[Categoria]],7)="Calçado","Calçado",1,"Outros")</f>
        <v>Roupa</v>
      </c>
      <c r="G11" t="s">
        <v>72</v>
      </c>
      <c r="H11" s="1">
        <v>4</v>
      </c>
      <c r="I11" s="4">
        <v>261.65700000000004</v>
      </c>
      <c r="J11" t="s">
        <v>92</v>
      </c>
    </row>
    <row r="12" spans="1:10" x14ac:dyDescent="0.25">
      <c r="A12" t="s">
        <v>113</v>
      </c>
      <c r="B12" s="3">
        <v>45715</v>
      </c>
      <c r="C12" t="s">
        <v>14</v>
      </c>
      <c r="D12" t="str">
        <f>_xlfn.XLOOKUP(TB_Venda[[#This Row],[Código do Produto]],TB_Produto[Código],TB_Produto[Nome do Produto])</f>
        <v>Camiseta Básica</v>
      </c>
      <c r="E12" t="str">
        <f>VLOOKUP(TB_Venda[[#This Row],[Código do Produto]],TB_Produto[],3,FALSE)</f>
        <v>Roupas Unissex</v>
      </c>
      <c r="F12" t="str" cm="1">
        <f t="array" ref="F12">_xlfn.IFS(LEFT(TB_Venda[[#This Row],[Categoria]],5)="Roupa","Roupa",LEFT(TB_Venda[[#This Row],[Categoria]],7)="Calçado","Calçado",1,"Outros")</f>
        <v>Roupa</v>
      </c>
      <c r="G12" t="s">
        <v>72</v>
      </c>
      <c r="H12" s="1">
        <v>1</v>
      </c>
      <c r="I12" s="4">
        <v>175.94280000000001</v>
      </c>
      <c r="J12" t="s">
        <v>92</v>
      </c>
    </row>
    <row r="13" spans="1:10" x14ac:dyDescent="0.25">
      <c r="A13" t="s">
        <v>114</v>
      </c>
      <c r="B13" s="3">
        <v>45692</v>
      </c>
      <c r="C13" t="s">
        <v>12</v>
      </c>
      <c r="D13" t="str">
        <f>_xlfn.XLOOKUP(TB_Venda[[#This Row],[Código do Produto]],TB_Produto[Código],TB_Produto[Nome do Produto])</f>
        <v>Calça Jeans Masculina</v>
      </c>
      <c r="E13" t="str">
        <f>VLOOKUP(TB_Venda[[#This Row],[Código do Produto]],TB_Produto[],3,FALSE)</f>
        <v>Roupas Masculinas</v>
      </c>
      <c r="F13" t="str" cm="1">
        <f t="array" ref="F13">_xlfn.IFS(LEFT(TB_Venda[[#This Row],[Categoria]],5)="Roupa","Roupa",LEFT(TB_Venda[[#This Row],[Categoria]],7)="Calçado","Calçado",1,"Outros")</f>
        <v>Roupa</v>
      </c>
      <c r="G13" t="s">
        <v>76</v>
      </c>
      <c r="H13" s="1">
        <v>2</v>
      </c>
      <c r="I13" s="4">
        <v>218.97899999999998</v>
      </c>
      <c r="J13" t="s">
        <v>95</v>
      </c>
    </row>
    <row r="14" spans="1:10" x14ac:dyDescent="0.25">
      <c r="A14" t="s">
        <v>115</v>
      </c>
      <c r="B14" s="3">
        <v>45711</v>
      </c>
      <c r="C14" t="s">
        <v>20</v>
      </c>
      <c r="D14" t="str">
        <f>_xlfn.XLOOKUP(TB_Venda[[#This Row],[Código do Produto]],TB_Produto[Código],TB_Produto[Nome do Produto])</f>
        <v>Regata Masculina</v>
      </c>
      <c r="E14" t="str">
        <f>VLOOKUP(TB_Venda[[#This Row],[Código do Produto]],TB_Produto[],3,FALSE)</f>
        <v>Roupas Masculinas</v>
      </c>
      <c r="F14" t="str" cm="1">
        <f t="array" ref="F14">_xlfn.IFS(LEFT(TB_Venda[[#This Row],[Categoria]],5)="Roupa","Roupa",LEFT(TB_Venda[[#This Row],[Categoria]],7)="Calçado","Calçado",1,"Outros")</f>
        <v>Roupa</v>
      </c>
      <c r="G14" t="s">
        <v>74</v>
      </c>
      <c r="H14" s="1">
        <v>2</v>
      </c>
      <c r="I14" s="4">
        <v>402.91200000000003</v>
      </c>
      <c r="J14" t="s">
        <v>93</v>
      </c>
    </row>
    <row r="15" spans="1:10" x14ac:dyDescent="0.25">
      <c r="A15" t="s">
        <v>116</v>
      </c>
      <c r="B15" s="3">
        <v>45688</v>
      </c>
      <c r="C15" t="s">
        <v>26</v>
      </c>
      <c r="D15" t="str">
        <f>_xlfn.XLOOKUP(TB_Venda[[#This Row],[Código do Produto]],TB_Produto[Código],TB_Produto[Nome do Produto])</f>
        <v>Sandália Rasteira</v>
      </c>
      <c r="E15" t="str">
        <f>VLOOKUP(TB_Venda[[#This Row],[Código do Produto]],TB_Produto[],3,FALSE)</f>
        <v>Calçados</v>
      </c>
      <c r="F15" t="str" cm="1">
        <f t="array" ref="F15">_xlfn.IFS(LEFT(TB_Venda[[#This Row],[Categoria]],5)="Roupa","Roupa",LEFT(TB_Venda[[#This Row],[Categoria]],7)="Calçado","Calçado",1,"Outros")</f>
        <v>Calçado</v>
      </c>
      <c r="G15" t="s">
        <v>73</v>
      </c>
      <c r="H15" s="1">
        <v>4</v>
      </c>
      <c r="I15" s="4">
        <v>398.4948</v>
      </c>
      <c r="J15" t="s">
        <v>92</v>
      </c>
    </row>
    <row r="16" spans="1:10" x14ac:dyDescent="0.25">
      <c r="A16" t="s">
        <v>117</v>
      </c>
      <c r="B16" s="3">
        <v>45708</v>
      </c>
      <c r="C16" t="s">
        <v>5</v>
      </c>
      <c r="D16" t="str">
        <f>_xlfn.XLOOKUP(TB_Venda[[#This Row],[Código do Produto]],TB_Produto[Código],TB_Produto[Nome do Produto])</f>
        <v>Tênis Esportivo</v>
      </c>
      <c r="E16" t="str">
        <f>VLOOKUP(TB_Venda[[#This Row],[Código do Produto]],TB_Produto[],3,FALSE)</f>
        <v>Calçados</v>
      </c>
      <c r="F16" t="str" cm="1">
        <f t="array" ref="F16">_xlfn.IFS(LEFT(TB_Venda[[#This Row],[Categoria]],5)="Roupa","Roupa",LEFT(TB_Venda[[#This Row],[Categoria]],7)="Calçado","Calçado",1,"Outros")</f>
        <v>Calçado</v>
      </c>
      <c r="G16" t="s">
        <v>72</v>
      </c>
      <c r="H16" s="1">
        <v>1</v>
      </c>
      <c r="I16" s="4">
        <v>415.78200000000004</v>
      </c>
      <c r="J16" t="s">
        <v>92</v>
      </c>
    </row>
    <row r="17" spans="1:10" x14ac:dyDescent="0.25">
      <c r="A17" t="s">
        <v>118</v>
      </c>
      <c r="B17" s="3">
        <v>45747</v>
      </c>
      <c r="C17" t="s">
        <v>23</v>
      </c>
      <c r="D17" t="str">
        <f>_xlfn.XLOOKUP(TB_Venda[[#This Row],[Código do Produto]],TB_Produto[Código],TB_Produto[Nome do Produto])</f>
        <v>Moletom Unissex</v>
      </c>
      <c r="E17" t="str">
        <f>VLOOKUP(TB_Venda[[#This Row],[Código do Produto]],TB_Produto[],3,FALSE)</f>
        <v>Roupas Unissex</v>
      </c>
      <c r="F17" t="str" cm="1">
        <f t="array" ref="F17">_xlfn.IFS(LEFT(TB_Venda[[#This Row],[Categoria]],5)="Roupa","Roupa",LEFT(TB_Venda[[#This Row],[Categoria]],7)="Calçado","Calçado",1,"Outros")</f>
        <v>Roupa</v>
      </c>
      <c r="G17" t="s">
        <v>73</v>
      </c>
      <c r="H17" s="1">
        <v>3</v>
      </c>
      <c r="I17" s="4">
        <v>202.608</v>
      </c>
      <c r="J17" t="s">
        <v>92</v>
      </c>
    </row>
    <row r="18" spans="1:10" x14ac:dyDescent="0.25">
      <c r="A18" t="s">
        <v>119</v>
      </c>
      <c r="B18" s="3">
        <v>45671</v>
      </c>
      <c r="C18" t="s">
        <v>25</v>
      </c>
      <c r="D18" t="str">
        <f>_xlfn.XLOOKUP(TB_Venda[[#This Row],[Código do Produto]],TB_Produto[Código],TB_Produto[Nome do Produto])</f>
        <v>Jaqueta Corta-Vento</v>
      </c>
      <c r="E18" t="str">
        <f>VLOOKUP(TB_Venda[[#This Row],[Código do Produto]],TB_Produto[],3,FALSE)</f>
        <v>Roupas Unissex</v>
      </c>
      <c r="F18" t="str" cm="1">
        <f t="array" ref="F18">_xlfn.IFS(LEFT(TB_Venda[[#This Row],[Categoria]],5)="Roupa","Roupa",LEFT(TB_Venda[[#This Row],[Categoria]],7)="Calçado","Calçado",1,"Outros")</f>
        <v>Roupa</v>
      </c>
      <c r="G18" t="s">
        <v>72</v>
      </c>
      <c r="H18" s="1">
        <v>5</v>
      </c>
      <c r="I18" s="4">
        <v>155.7072</v>
      </c>
      <c r="J18" t="s">
        <v>92</v>
      </c>
    </row>
    <row r="19" spans="1:10" x14ac:dyDescent="0.25">
      <c r="A19" t="s">
        <v>120</v>
      </c>
      <c r="B19" s="3">
        <v>45812</v>
      </c>
      <c r="C19" t="s">
        <v>28</v>
      </c>
      <c r="D19" t="str">
        <f>_xlfn.XLOOKUP(TB_Venda[[#This Row],[Código do Produto]],TB_Produto[Código],TB_Produto[Nome do Produto])</f>
        <v>Legging Esportiva</v>
      </c>
      <c r="E19" t="str">
        <f>VLOOKUP(TB_Venda[[#This Row],[Código do Produto]],TB_Produto[],3,FALSE)</f>
        <v>Roupas Femininas</v>
      </c>
      <c r="F19" t="str" cm="1">
        <f t="array" ref="F19">_xlfn.IFS(LEFT(TB_Venda[[#This Row],[Categoria]],5)="Roupa","Roupa",LEFT(TB_Venda[[#This Row],[Categoria]],7)="Calçado","Calçado",1,"Outros")</f>
        <v>Roupa</v>
      </c>
      <c r="G19" t="s">
        <v>77</v>
      </c>
      <c r="H19" s="1">
        <v>1</v>
      </c>
      <c r="I19" s="4">
        <v>358.37619999999998</v>
      </c>
      <c r="J19" t="s">
        <v>96</v>
      </c>
    </row>
    <row r="20" spans="1:10" x14ac:dyDescent="0.25">
      <c r="A20" t="s">
        <v>121</v>
      </c>
      <c r="B20" s="3">
        <v>45784</v>
      </c>
      <c r="C20" t="s">
        <v>26</v>
      </c>
      <c r="D20" t="str">
        <f>_xlfn.XLOOKUP(TB_Venda[[#This Row],[Código do Produto]],TB_Produto[Código],TB_Produto[Nome do Produto])</f>
        <v>Sandália Rasteira</v>
      </c>
      <c r="E20" t="str">
        <f>VLOOKUP(TB_Venda[[#This Row],[Código do Produto]],TB_Produto[],3,FALSE)</f>
        <v>Calçados</v>
      </c>
      <c r="F20" t="str" cm="1">
        <f t="array" ref="F20">_xlfn.IFS(LEFT(TB_Venda[[#This Row],[Categoria]],5)="Roupa","Roupa",LEFT(TB_Venda[[#This Row],[Categoria]],7)="Calçado","Calçado",1,"Outros")</f>
        <v>Calçado</v>
      </c>
      <c r="G20" t="s">
        <v>80</v>
      </c>
      <c r="H20" s="1">
        <v>1</v>
      </c>
      <c r="I20" s="4">
        <v>374.34359999999998</v>
      </c>
      <c r="J20" t="s">
        <v>92</v>
      </c>
    </row>
    <row r="21" spans="1:10" x14ac:dyDescent="0.25">
      <c r="A21" t="s">
        <v>122</v>
      </c>
      <c r="B21" s="3">
        <v>45723</v>
      </c>
      <c r="C21" t="s">
        <v>34</v>
      </c>
      <c r="D21" t="str">
        <f>_xlfn.XLOOKUP(TB_Venda[[#This Row],[Código do Produto]],TB_Produto[Código],TB_Produto[Nome do Produto])</f>
        <v>Vestido Estampado</v>
      </c>
      <c r="E21" t="str">
        <f>VLOOKUP(TB_Venda[[#This Row],[Código do Produto]],TB_Produto[],3,FALSE)</f>
        <v>Roupas Femininas</v>
      </c>
      <c r="F21" t="str" cm="1">
        <f t="array" ref="F21">_xlfn.IFS(LEFT(TB_Venda[[#This Row],[Categoria]],5)="Roupa","Roupa",LEFT(TB_Venda[[#This Row],[Categoria]],7)="Calçado","Calçado",1,"Outros")</f>
        <v>Roupa</v>
      </c>
      <c r="G21" t="s">
        <v>72</v>
      </c>
      <c r="H21" s="1">
        <v>5</v>
      </c>
      <c r="I21" s="4">
        <v>320.09030000000001</v>
      </c>
      <c r="J21" t="s">
        <v>92</v>
      </c>
    </row>
    <row r="22" spans="1:10" x14ac:dyDescent="0.25">
      <c r="A22" t="s">
        <v>123</v>
      </c>
      <c r="B22" s="3">
        <v>45664</v>
      </c>
      <c r="C22" t="s">
        <v>6</v>
      </c>
      <c r="D22" t="str">
        <f>_xlfn.XLOOKUP(TB_Venda[[#This Row],[Código do Produto]],TB_Produto[Código],TB_Produto[Nome do Produto])</f>
        <v>Camisa Polo</v>
      </c>
      <c r="E22" t="str">
        <f>VLOOKUP(TB_Venda[[#This Row],[Código do Produto]],TB_Produto[],3,FALSE)</f>
        <v>Camisaria</v>
      </c>
      <c r="F22" t="str" cm="1">
        <f t="array" ref="F22">_xlfn.IFS(LEFT(TB_Venda[[#This Row],[Categoria]],5)="Roupa","Roupa",LEFT(TB_Venda[[#This Row],[Categoria]],7)="Calçado","Calçado",1,"Outros")</f>
        <v>Outros</v>
      </c>
      <c r="G22" t="s">
        <v>78</v>
      </c>
      <c r="H22" s="1">
        <v>1</v>
      </c>
      <c r="I22" s="4">
        <v>249.15439999999998</v>
      </c>
      <c r="J22" t="s">
        <v>95</v>
      </c>
    </row>
    <row r="23" spans="1:10" x14ac:dyDescent="0.25">
      <c r="A23" t="s">
        <v>124</v>
      </c>
      <c r="B23" s="3">
        <v>45735</v>
      </c>
      <c r="C23" t="s">
        <v>30</v>
      </c>
      <c r="D23" t="str">
        <f>_xlfn.XLOOKUP(TB_Venda[[#This Row],[Código do Produto]],TB_Produto[Código],TB_Produto[Nome do Produto])</f>
        <v>Tênis Corrida</v>
      </c>
      <c r="E23" t="str">
        <f>VLOOKUP(TB_Venda[[#This Row],[Código do Produto]],TB_Produto[],3,FALSE)</f>
        <v>Calçados</v>
      </c>
      <c r="F23" t="str" cm="1">
        <f t="array" ref="F23">_xlfn.IFS(LEFT(TB_Venda[[#This Row],[Categoria]],5)="Roupa","Roupa",LEFT(TB_Venda[[#This Row],[Categoria]],7)="Calçado","Calçado",1,"Outros")</f>
        <v>Calçado</v>
      </c>
      <c r="G23" t="s">
        <v>79</v>
      </c>
      <c r="H23" s="1">
        <v>1</v>
      </c>
      <c r="I23" s="4">
        <v>151.20840000000001</v>
      </c>
      <c r="J23" t="s">
        <v>96</v>
      </c>
    </row>
    <row r="24" spans="1:10" x14ac:dyDescent="0.25">
      <c r="A24" t="s">
        <v>125</v>
      </c>
      <c r="B24" s="3">
        <v>45744</v>
      </c>
      <c r="C24" t="s">
        <v>7</v>
      </c>
      <c r="D24" t="str">
        <f>_xlfn.XLOOKUP(TB_Venda[[#This Row],[Código do Produto]],TB_Produto[Código],TB_Produto[Nome do Produto])</f>
        <v>Blusa de Frio</v>
      </c>
      <c r="E24" t="str">
        <f>VLOOKUP(TB_Venda[[#This Row],[Código do Produto]],TB_Produto[],3,FALSE)</f>
        <v>Roupas Femininas</v>
      </c>
      <c r="F24" t="str" cm="1">
        <f t="array" ref="F24">_xlfn.IFS(LEFT(TB_Venda[[#This Row],[Categoria]],5)="Roupa","Roupa",LEFT(TB_Venda[[#This Row],[Categoria]],7)="Calçado","Calçado",1,"Outros")</f>
        <v>Roupa</v>
      </c>
      <c r="G24" t="s">
        <v>76</v>
      </c>
      <c r="H24" s="1">
        <v>2</v>
      </c>
      <c r="I24" s="4">
        <v>287.8227</v>
      </c>
      <c r="J24" t="s">
        <v>95</v>
      </c>
    </row>
    <row r="25" spans="1:10" x14ac:dyDescent="0.25">
      <c r="A25" t="s">
        <v>126</v>
      </c>
      <c r="B25" s="3">
        <v>45674</v>
      </c>
      <c r="C25" t="s">
        <v>32</v>
      </c>
      <c r="D25" t="str">
        <f>_xlfn.XLOOKUP(TB_Venda[[#This Row],[Código do Produto]],TB_Produto[Código],TB_Produto[Nome do Produto])</f>
        <v>Chinelo Slide</v>
      </c>
      <c r="E25" t="str">
        <f>VLOOKUP(TB_Venda[[#This Row],[Código do Produto]],TB_Produto[],3,FALSE)</f>
        <v>Calçados</v>
      </c>
      <c r="F25" t="str" cm="1">
        <f t="array" ref="F25">_xlfn.IFS(LEFT(TB_Venda[[#This Row],[Categoria]],5)="Roupa","Roupa",LEFT(TB_Venda[[#This Row],[Categoria]],7)="Calçado","Calçado",1,"Outros")</f>
        <v>Calçado</v>
      </c>
      <c r="G25" t="s">
        <v>76</v>
      </c>
      <c r="H25" s="1">
        <v>5</v>
      </c>
      <c r="I25" s="4">
        <v>142.1216</v>
      </c>
      <c r="J25" t="s">
        <v>95</v>
      </c>
    </row>
    <row r="26" spans="1:10" x14ac:dyDescent="0.25">
      <c r="A26" t="s">
        <v>127</v>
      </c>
      <c r="B26" s="3">
        <v>45759</v>
      </c>
      <c r="C26" t="s">
        <v>34</v>
      </c>
      <c r="D26" t="str">
        <f>_xlfn.XLOOKUP(TB_Venda[[#This Row],[Código do Produto]],TB_Produto[Código],TB_Produto[Nome do Produto])</f>
        <v>Vestido Estampado</v>
      </c>
      <c r="E26" t="str">
        <f>VLOOKUP(TB_Venda[[#This Row],[Código do Produto]],TB_Produto[],3,FALSE)</f>
        <v>Roupas Femininas</v>
      </c>
      <c r="F26" t="str" cm="1">
        <f t="array" ref="F26">_xlfn.IFS(LEFT(TB_Venda[[#This Row],[Categoria]],5)="Roupa","Roupa",LEFT(TB_Venda[[#This Row],[Categoria]],7)="Calçado","Calçado",1,"Outros")</f>
        <v>Roupa</v>
      </c>
      <c r="G26" t="s">
        <v>77</v>
      </c>
      <c r="H26" s="1">
        <v>4</v>
      </c>
      <c r="I26" s="4">
        <v>300.29090000000002</v>
      </c>
      <c r="J26" t="s">
        <v>96</v>
      </c>
    </row>
    <row r="27" spans="1:10" x14ac:dyDescent="0.25">
      <c r="A27" t="s">
        <v>128</v>
      </c>
      <c r="B27" s="3">
        <v>45698</v>
      </c>
      <c r="C27" t="s">
        <v>33</v>
      </c>
      <c r="D27" t="str">
        <f>_xlfn.XLOOKUP(TB_Venda[[#This Row],[Código do Produto]],TB_Produto[Código],TB_Produto[Nome do Produto])</f>
        <v>Camisa de Linho</v>
      </c>
      <c r="E27" t="str">
        <f>VLOOKUP(TB_Venda[[#This Row],[Código do Produto]],TB_Produto[],3,FALSE)</f>
        <v>Roupas Masculinas</v>
      </c>
      <c r="F27" t="str" cm="1">
        <f t="array" ref="F27">_xlfn.IFS(LEFT(TB_Venda[[#This Row],[Categoria]],5)="Roupa","Roupa",LEFT(TB_Venda[[#This Row],[Categoria]],7)="Calçado","Calçado",1,"Outros")</f>
        <v>Roupa</v>
      </c>
      <c r="G27" t="s">
        <v>79</v>
      </c>
      <c r="H27" s="1">
        <v>1</v>
      </c>
      <c r="I27" s="4">
        <v>91.994799999999998</v>
      </c>
      <c r="J27" t="s">
        <v>96</v>
      </c>
    </row>
    <row r="28" spans="1:10" x14ac:dyDescent="0.25">
      <c r="A28" t="s">
        <v>129</v>
      </c>
      <c r="B28" s="3">
        <v>45730</v>
      </c>
      <c r="C28" t="s">
        <v>29</v>
      </c>
      <c r="D28" t="str">
        <f>_xlfn.XLOOKUP(TB_Venda[[#This Row],[Código do Produto]],TB_Produto[Código],TB_Produto[Nome do Produto])</f>
        <v>Camisa de Time</v>
      </c>
      <c r="E28" t="str">
        <f>VLOOKUP(TB_Venda[[#This Row],[Código do Produto]],TB_Produto[],3,FALSE)</f>
        <v>Roupas Masculinas</v>
      </c>
      <c r="F28" t="str" cm="1">
        <f t="array" ref="F28">_xlfn.IFS(LEFT(TB_Venda[[#This Row],[Categoria]],5)="Roupa","Roupa",LEFT(TB_Venda[[#This Row],[Categoria]],7)="Calçado","Calçado",1,"Outros")</f>
        <v>Roupa</v>
      </c>
      <c r="G28" t="s">
        <v>73</v>
      </c>
      <c r="H28" s="1">
        <v>1</v>
      </c>
      <c r="I28" s="4">
        <v>209.48160000000001</v>
      </c>
      <c r="J28" t="s">
        <v>92</v>
      </c>
    </row>
    <row r="29" spans="1:10" x14ac:dyDescent="0.25">
      <c r="A29" t="s">
        <v>130</v>
      </c>
      <c r="B29" s="3">
        <v>45748</v>
      </c>
      <c r="C29" t="s">
        <v>7</v>
      </c>
      <c r="D29" t="str">
        <f>_xlfn.XLOOKUP(TB_Venda[[#This Row],[Código do Produto]],TB_Produto[Código],TB_Produto[Nome do Produto])</f>
        <v>Blusa de Frio</v>
      </c>
      <c r="E29" t="str">
        <f>VLOOKUP(TB_Venda[[#This Row],[Código do Produto]],TB_Produto[],3,FALSE)</f>
        <v>Roupas Femininas</v>
      </c>
      <c r="F29" t="str" cm="1">
        <f t="array" ref="F29">_xlfn.IFS(LEFT(TB_Venda[[#This Row],[Categoria]],5)="Roupa","Roupa",LEFT(TB_Venda[[#This Row],[Categoria]],7)="Calçado","Calçado",1,"Outros")</f>
        <v>Roupa</v>
      </c>
      <c r="G29" t="s">
        <v>80</v>
      </c>
      <c r="H29" s="1">
        <v>1</v>
      </c>
      <c r="I29" s="4">
        <v>287.8227</v>
      </c>
      <c r="J29" t="s">
        <v>92</v>
      </c>
    </row>
    <row r="30" spans="1:10" x14ac:dyDescent="0.25">
      <c r="A30" t="s">
        <v>131</v>
      </c>
      <c r="B30" s="3">
        <v>45701</v>
      </c>
      <c r="C30" t="s">
        <v>6</v>
      </c>
      <c r="D30" t="str">
        <f>_xlfn.XLOOKUP(TB_Venda[[#This Row],[Código do Produto]],TB_Produto[Código],TB_Produto[Nome do Produto])</f>
        <v>Camisa Polo</v>
      </c>
      <c r="E30" t="str">
        <f>VLOOKUP(TB_Venda[[#This Row],[Código do Produto]],TB_Produto[],3,FALSE)</f>
        <v>Camisaria</v>
      </c>
      <c r="F30" t="str" cm="1">
        <f t="array" ref="F30">_xlfn.IFS(LEFT(TB_Venda[[#This Row],[Categoria]],5)="Roupa","Roupa",LEFT(TB_Venda[[#This Row],[Categoria]],7)="Calçado","Calçado",1,"Outros")</f>
        <v>Outros</v>
      </c>
      <c r="G30" t="s">
        <v>81</v>
      </c>
      <c r="H30" s="1">
        <v>2</v>
      </c>
      <c r="I30" s="4">
        <v>254.57079999999999</v>
      </c>
      <c r="J30" t="s">
        <v>96</v>
      </c>
    </row>
    <row r="31" spans="1:10" x14ac:dyDescent="0.25">
      <c r="A31" t="s">
        <v>132</v>
      </c>
      <c r="B31" s="3">
        <v>45701</v>
      </c>
      <c r="C31" t="s">
        <v>23</v>
      </c>
      <c r="D31" t="str">
        <f>_xlfn.XLOOKUP(TB_Venda[[#This Row],[Código do Produto]],TB_Produto[Código],TB_Produto[Nome do Produto])</f>
        <v>Moletom Unissex</v>
      </c>
      <c r="E31" t="str">
        <f>VLOOKUP(TB_Venda[[#This Row],[Código do Produto]],TB_Produto[],3,FALSE)</f>
        <v>Roupas Unissex</v>
      </c>
      <c r="F31" t="str" cm="1">
        <f t="array" ref="F31">_xlfn.IFS(LEFT(TB_Venda[[#This Row],[Categoria]],5)="Roupa","Roupa",LEFT(TB_Venda[[#This Row],[Categoria]],7)="Calçado","Calçado",1,"Outros")</f>
        <v>Roupa</v>
      </c>
      <c r="G31" t="s">
        <v>76</v>
      </c>
      <c r="H31" s="1">
        <v>2</v>
      </c>
      <c r="I31" s="4">
        <v>208.93950000000001</v>
      </c>
      <c r="J31" t="s">
        <v>95</v>
      </c>
    </row>
    <row r="32" spans="1:10" x14ac:dyDescent="0.25">
      <c r="A32" t="s">
        <v>133</v>
      </c>
      <c r="B32" s="3">
        <v>45826</v>
      </c>
      <c r="C32" t="s">
        <v>22</v>
      </c>
      <c r="D32" t="str">
        <f>_xlfn.XLOOKUP(TB_Venda[[#This Row],[Código do Produto]],TB_Produto[Código],TB_Produto[Nome do Produto])</f>
        <v>Mule Feminino</v>
      </c>
      <c r="E32" t="str">
        <f>VLOOKUP(TB_Venda[[#This Row],[Código do Produto]],TB_Produto[],3,FALSE)</f>
        <v>Calçados</v>
      </c>
      <c r="F32" t="str" cm="1">
        <f t="array" ref="F32">_xlfn.IFS(LEFT(TB_Venda[[#This Row],[Categoria]],5)="Roupa","Roupa",LEFT(TB_Venda[[#This Row],[Categoria]],7)="Calçado","Calçado",1,"Outros")</f>
        <v>Calçado</v>
      </c>
      <c r="G32" t="s">
        <v>74</v>
      </c>
      <c r="H32" s="1">
        <v>3</v>
      </c>
      <c r="I32" s="4">
        <v>76.655500000000004</v>
      </c>
      <c r="J32" t="s">
        <v>93</v>
      </c>
    </row>
    <row r="33" spans="1:10" x14ac:dyDescent="0.25">
      <c r="A33" t="s">
        <v>134</v>
      </c>
      <c r="B33" s="3">
        <v>45765</v>
      </c>
      <c r="C33" t="s">
        <v>30</v>
      </c>
      <c r="D33" t="str">
        <f>_xlfn.XLOOKUP(TB_Venda[[#This Row],[Código do Produto]],TB_Produto[Código],TB_Produto[Nome do Produto])</f>
        <v>Tênis Corrida</v>
      </c>
      <c r="E33" t="str">
        <f>VLOOKUP(TB_Venda[[#This Row],[Código do Produto]],TB_Produto[],3,FALSE)</f>
        <v>Calçados</v>
      </c>
      <c r="F33" t="str" cm="1">
        <f t="array" ref="F33">_xlfn.IFS(LEFT(TB_Venda[[#This Row],[Categoria]],5)="Roupa","Roupa",LEFT(TB_Venda[[#This Row],[Categoria]],7)="Calçado","Calçado",1,"Outros")</f>
        <v>Calçado</v>
      </c>
      <c r="G33" t="s">
        <v>75</v>
      </c>
      <c r="H33" s="1">
        <v>1</v>
      </c>
      <c r="I33" s="4">
        <v>151.20840000000001</v>
      </c>
      <c r="J33" t="s">
        <v>94</v>
      </c>
    </row>
    <row r="34" spans="1:10" x14ac:dyDescent="0.25">
      <c r="A34" t="s">
        <v>135</v>
      </c>
      <c r="B34" s="3">
        <v>45735</v>
      </c>
      <c r="C34" t="s">
        <v>31</v>
      </c>
      <c r="D34" t="str">
        <f>_xlfn.XLOOKUP(TB_Venda[[#This Row],[Código do Produto]],TB_Produto[Código],TB_Produto[Nome do Produto])</f>
        <v>Sapato Social</v>
      </c>
      <c r="E34" t="str">
        <f>VLOOKUP(TB_Venda[[#This Row],[Código do Produto]],TB_Produto[],3,FALSE)</f>
        <v>Calçados</v>
      </c>
      <c r="F34" t="str" cm="1">
        <f t="array" ref="F34">_xlfn.IFS(LEFT(TB_Venda[[#This Row],[Categoria]],5)="Roupa","Roupa",LEFT(TB_Venda[[#This Row],[Categoria]],7)="Calçado","Calçado",1,"Outros")</f>
        <v>Calçado</v>
      </c>
      <c r="G34" t="s">
        <v>76</v>
      </c>
      <c r="H34" s="1">
        <v>3</v>
      </c>
      <c r="I34" s="4">
        <v>279.72140000000002</v>
      </c>
      <c r="J34" t="s">
        <v>95</v>
      </c>
    </row>
    <row r="35" spans="1:10" x14ac:dyDescent="0.25">
      <c r="A35" t="s">
        <v>136</v>
      </c>
      <c r="B35" s="3">
        <v>45738</v>
      </c>
      <c r="C35" t="s">
        <v>11</v>
      </c>
      <c r="D35" t="str">
        <f>_xlfn.XLOOKUP(TB_Venda[[#This Row],[Código do Produto]],TB_Produto[Código],TB_Produto[Nome do Produto])</f>
        <v>Sapatênis</v>
      </c>
      <c r="E35" t="str">
        <f>VLOOKUP(TB_Venda[[#This Row],[Código do Produto]],TB_Produto[],3,FALSE)</f>
        <v>Calçados</v>
      </c>
      <c r="F35" t="str" cm="1">
        <f t="array" ref="F35">_xlfn.IFS(LEFT(TB_Venda[[#This Row],[Categoria]],5)="Roupa","Roupa",LEFT(TB_Venda[[#This Row],[Categoria]],7)="Calçado","Calçado",1,"Outros")</f>
        <v>Calçado</v>
      </c>
      <c r="G35" t="s">
        <v>76</v>
      </c>
      <c r="H35" s="1">
        <v>2</v>
      </c>
      <c r="I35" s="4">
        <v>131.10720000000001</v>
      </c>
      <c r="J35" t="s">
        <v>95</v>
      </c>
    </row>
    <row r="36" spans="1:10" x14ac:dyDescent="0.25">
      <c r="A36" t="s">
        <v>137</v>
      </c>
      <c r="B36" s="3">
        <v>45747</v>
      </c>
      <c r="C36" t="s">
        <v>11</v>
      </c>
      <c r="D36" t="str">
        <f>_xlfn.XLOOKUP(TB_Venda[[#This Row],[Código do Produto]],TB_Produto[Código],TB_Produto[Nome do Produto])</f>
        <v>Sapatênis</v>
      </c>
      <c r="E36" t="str">
        <f>VLOOKUP(TB_Venda[[#This Row],[Código do Produto]],TB_Produto[],3,FALSE)</f>
        <v>Calçados</v>
      </c>
      <c r="F36" t="str" cm="1">
        <f t="array" ref="F36">_xlfn.IFS(LEFT(TB_Venda[[#This Row],[Categoria]],5)="Roupa","Roupa",LEFT(TB_Venda[[#This Row],[Categoria]],7)="Calçado","Calçado",1,"Outros")</f>
        <v>Calçado</v>
      </c>
      <c r="G36" t="s">
        <v>75</v>
      </c>
      <c r="H36" s="1">
        <v>3</v>
      </c>
      <c r="I36" s="4">
        <v>135.20429999999999</v>
      </c>
      <c r="J36" t="s">
        <v>94</v>
      </c>
    </row>
    <row r="37" spans="1:10" x14ac:dyDescent="0.25">
      <c r="A37" t="s">
        <v>138</v>
      </c>
      <c r="B37" s="3">
        <v>45670</v>
      </c>
      <c r="C37" t="s">
        <v>16</v>
      </c>
      <c r="D37" t="str">
        <f>_xlfn.XLOOKUP(TB_Venda[[#This Row],[Código do Produto]],TB_Produto[Código],TB_Produto[Nome do Produto])</f>
        <v>Shorts Jeans</v>
      </c>
      <c r="E37" t="str">
        <f>VLOOKUP(TB_Venda[[#This Row],[Código do Produto]],TB_Produto[],3,FALSE)</f>
        <v>Roupas Femininas</v>
      </c>
      <c r="F37" t="str" cm="1">
        <f t="array" ref="F37">_xlfn.IFS(LEFT(TB_Venda[[#This Row],[Categoria]],5)="Roupa","Roupa",LEFT(TB_Venda[[#This Row],[Categoria]],7)="Calçado","Calçado",1,"Outros")</f>
        <v>Roupa</v>
      </c>
      <c r="G37" t="s">
        <v>76</v>
      </c>
      <c r="H37" s="1">
        <v>3</v>
      </c>
      <c r="I37" s="4">
        <v>207.45509999999999</v>
      </c>
      <c r="J37" t="s">
        <v>95</v>
      </c>
    </row>
    <row r="38" spans="1:10" x14ac:dyDescent="0.25">
      <c r="A38" t="s">
        <v>139</v>
      </c>
      <c r="B38" s="3">
        <v>45831</v>
      </c>
      <c r="C38" t="s">
        <v>26</v>
      </c>
      <c r="D38" t="str">
        <f>_xlfn.XLOOKUP(TB_Venda[[#This Row],[Código do Produto]],TB_Produto[Código],TB_Produto[Nome do Produto])</f>
        <v>Sandália Rasteira</v>
      </c>
      <c r="E38" t="str">
        <f>VLOOKUP(TB_Venda[[#This Row],[Código do Produto]],TB_Produto[],3,FALSE)</f>
        <v>Calçados</v>
      </c>
      <c r="F38" t="str" cm="1">
        <f t="array" ref="F38">_xlfn.IFS(LEFT(TB_Venda[[#This Row],[Categoria]],5)="Roupa","Roupa",LEFT(TB_Venda[[#This Row],[Categoria]],7)="Calçado","Calçado",1,"Outros")</f>
        <v>Calçado</v>
      </c>
      <c r="G38" t="s">
        <v>77</v>
      </c>
      <c r="H38" s="1">
        <v>5</v>
      </c>
      <c r="I38" s="4">
        <v>394.46959999999996</v>
      </c>
      <c r="J38" t="s">
        <v>96</v>
      </c>
    </row>
    <row r="39" spans="1:10" x14ac:dyDescent="0.25">
      <c r="A39" t="s">
        <v>140</v>
      </c>
      <c r="B39" s="3">
        <v>45814</v>
      </c>
      <c r="C39" t="s">
        <v>11</v>
      </c>
      <c r="D39" t="str">
        <f>_xlfn.XLOOKUP(TB_Venda[[#This Row],[Código do Produto]],TB_Produto[Código],TB_Produto[Nome do Produto])</f>
        <v>Sapatênis</v>
      </c>
      <c r="E39" t="str">
        <f>VLOOKUP(TB_Venda[[#This Row],[Código do Produto]],TB_Produto[],3,FALSE)</f>
        <v>Calçados</v>
      </c>
      <c r="F39" t="str" cm="1">
        <f t="array" ref="F39">_xlfn.IFS(LEFT(TB_Venda[[#This Row],[Categoria]],5)="Roupa","Roupa",LEFT(TB_Venda[[#This Row],[Categoria]],7)="Calçado","Calçado",1,"Outros")</f>
        <v>Calçado</v>
      </c>
      <c r="G39" t="s">
        <v>80</v>
      </c>
      <c r="H39" s="1">
        <v>3</v>
      </c>
      <c r="I39" s="4">
        <v>127.01009999999999</v>
      </c>
      <c r="J39" t="s">
        <v>92</v>
      </c>
    </row>
    <row r="40" spans="1:10" x14ac:dyDescent="0.25">
      <c r="A40" t="s">
        <v>141</v>
      </c>
      <c r="B40" s="3">
        <v>45790</v>
      </c>
      <c r="C40" t="s">
        <v>34</v>
      </c>
      <c r="D40" t="str">
        <f>_xlfn.XLOOKUP(TB_Venda[[#This Row],[Código do Produto]],TB_Produto[Código],TB_Produto[Nome do Produto])</f>
        <v>Vestido Estampado</v>
      </c>
      <c r="E40" t="str">
        <f>VLOOKUP(TB_Venda[[#This Row],[Código do Produto]],TB_Produto[],3,FALSE)</f>
        <v>Roupas Femininas</v>
      </c>
      <c r="F40" t="str" cm="1">
        <f t="array" ref="F40">_xlfn.IFS(LEFT(TB_Venda[[#This Row],[Categoria]],5)="Roupa","Roupa",LEFT(TB_Venda[[#This Row],[Categoria]],7)="Calçado","Calçado",1,"Outros")</f>
        <v>Roupa</v>
      </c>
      <c r="G40" t="s">
        <v>75</v>
      </c>
      <c r="H40" s="1">
        <v>2</v>
      </c>
      <c r="I40" s="4">
        <v>300.29090000000002</v>
      </c>
      <c r="J40" t="s">
        <v>94</v>
      </c>
    </row>
    <row r="41" spans="1:10" x14ac:dyDescent="0.25">
      <c r="A41" t="s">
        <v>142</v>
      </c>
      <c r="B41" s="3">
        <v>45732</v>
      </c>
      <c r="C41" t="s">
        <v>22</v>
      </c>
      <c r="D41" t="str">
        <f>_xlfn.XLOOKUP(TB_Venda[[#This Row],[Código do Produto]],TB_Produto[Código],TB_Produto[Nome do Produto])</f>
        <v>Mule Feminino</v>
      </c>
      <c r="E41" t="str">
        <f>VLOOKUP(TB_Venda[[#This Row],[Código do Produto]],TB_Produto[],3,FALSE)</f>
        <v>Calçados</v>
      </c>
      <c r="F41" t="str" cm="1">
        <f t="array" ref="F41">_xlfn.IFS(LEFT(TB_Venda[[#This Row],[Categoria]],5)="Roupa","Roupa",LEFT(TB_Venda[[#This Row],[Categoria]],7)="Calçado","Calçado",1,"Outros")</f>
        <v>Calçado</v>
      </c>
      <c r="G41" t="s">
        <v>75</v>
      </c>
      <c r="H41" s="1">
        <v>5</v>
      </c>
      <c r="I41" s="4">
        <v>73.427899999999994</v>
      </c>
      <c r="J41" t="s">
        <v>94</v>
      </c>
    </row>
    <row r="42" spans="1:10" x14ac:dyDescent="0.25">
      <c r="A42" t="s">
        <v>143</v>
      </c>
      <c r="B42" s="3">
        <v>45781</v>
      </c>
      <c r="C42" t="s">
        <v>24</v>
      </c>
      <c r="D42" t="str">
        <f>_xlfn.XLOOKUP(TB_Venda[[#This Row],[Código do Produto]],TB_Produto[Código],TB_Produto[Nome do Produto])</f>
        <v>Camiseta Estampada</v>
      </c>
      <c r="E42" t="str">
        <f>VLOOKUP(TB_Venda[[#This Row],[Código do Produto]],TB_Produto[],3,FALSE)</f>
        <v>Roupas Unissex</v>
      </c>
      <c r="F42" t="str" cm="1">
        <f t="array" ref="F42">_xlfn.IFS(LEFT(TB_Venda[[#This Row],[Categoria]],5)="Roupa","Roupa",LEFT(TB_Venda[[#This Row],[Categoria]],7)="Calçado","Calçado",1,"Outros")</f>
        <v>Roupa</v>
      </c>
      <c r="G42" t="s">
        <v>77</v>
      </c>
      <c r="H42" s="1">
        <v>5</v>
      </c>
      <c r="I42" s="4">
        <v>354.35520000000002</v>
      </c>
      <c r="J42" t="s">
        <v>96</v>
      </c>
    </row>
    <row r="43" spans="1:10" x14ac:dyDescent="0.25">
      <c r="A43" t="s">
        <v>144</v>
      </c>
      <c r="B43" s="3">
        <v>45735</v>
      </c>
      <c r="C43" t="s">
        <v>27</v>
      </c>
      <c r="D43" t="str">
        <f>_xlfn.XLOOKUP(TB_Venda[[#This Row],[Código do Produto]],TB_Produto[Código],TB_Produto[Nome do Produto])</f>
        <v>Top Fitness</v>
      </c>
      <c r="E43" t="str">
        <f>VLOOKUP(TB_Venda[[#This Row],[Código do Produto]],TB_Produto[],3,FALSE)</f>
        <v>Roupas Femininas</v>
      </c>
      <c r="F43" t="str" cm="1">
        <f t="array" ref="F43">_xlfn.IFS(LEFT(TB_Venda[[#This Row],[Categoria]],5)="Roupa","Roupa",LEFT(TB_Venda[[#This Row],[Categoria]],7)="Calçado","Calçado",1,"Outros")</f>
        <v>Roupa</v>
      </c>
      <c r="G43" t="s">
        <v>79</v>
      </c>
      <c r="H43" s="1">
        <v>5</v>
      </c>
      <c r="I43" s="4">
        <v>82.576099999999997</v>
      </c>
      <c r="J43" t="s">
        <v>96</v>
      </c>
    </row>
    <row r="44" spans="1:10" x14ac:dyDescent="0.25">
      <c r="A44" t="s">
        <v>145</v>
      </c>
      <c r="B44" s="3">
        <v>45750</v>
      </c>
      <c r="C44" t="s">
        <v>23</v>
      </c>
      <c r="D44" t="str">
        <f>_xlfn.XLOOKUP(TB_Venda[[#This Row],[Código do Produto]],TB_Produto[Código],TB_Produto[Nome do Produto])</f>
        <v>Moletom Unissex</v>
      </c>
      <c r="E44" t="str">
        <f>VLOOKUP(TB_Venda[[#This Row],[Código do Produto]],TB_Produto[],3,FALSE)</f>
        <v>Roupas Unissex</v>
      </c>
      <c r="F44" t="str" cm="1">
        <f t="array" ref="F44">_xlfn.IFS(LEFT(TB_Venda[[#This Row],[Categoria]],5)="Roupa","Roupa",LEFT(TB_Venda[[#This Row],[Categoria]],7)="Calçado","Calçado",1,"Outros")</f>
        <v>Roupa</v>
      </c>
      <c r="G44" t="s">
        <v>74</v>
      </c>
      <c r="H44" s="1">
        <v>2</v>
      </c>
      <c r="I44" s="4">
        <v>196.2765</v>
      </c>
      <c r="J44" t="s">
        <v>93</v>
      </c>
    </row>
    <row r="45" spans="1:10" x14ac:dyDescent="0.25">
      <c r="A45" t="s">
        <v>146</v>
      </c>
      <c r="B45" s="3">
        <v>45712</v>
      </c>
      <c r="C45" t="s">
        <v>15</v>
      </c>
      <c r="D45" t="str">
        <f>_xlfn.XLOOKUP(TB_Venda[[#This Row],[Código do Produto]],TB_Produto[Código],TB_Produto[Nome do Produto])</f>
        <v>Bota Feminina</v>
      </c>
      <c r="E45" t="str">
        <f>VLOOKUP(TB_Venda[[#This Row],[Código do Produto]],TB_Produto[],3,FALSE)</f>
        <v>Calçados</v>
      </c>
      <c r="F45" t="str" cm="1">
        <f t="array" ref="F45">_xlfn.IFS(LEFT(TB_Venda[[#This Row],[Categoria]],5)="Roupa","Roupa",LEFT(TB_Venda[[#This Row],[Categoria]],7)="Calçado","Calçado",1,"Outros")</f>
        <v>Calçado</v>
      </c>
      <c r="G45" t="s">
        <v>74</v>
      </c>
      <c r="H45" s="1">
        <v>1</v>
      </c>
      <c r="I45" s="4">
        <v>469.49</v>
      </c>
      <c r="J45" t="s">
        <v>93</v>
      </c>
    </row>
    <row r="46" spans="1:10" x14ac:dyDescent="0.25">
      <c r="A46" t="s">
        <v>147</v>
      </c>
      <c r="B46" s="3">
        <v>45685</v>
      </c>
      <c r="C46" t="s">
        <v>13</v>
      </c>
      <c r="D46" t="str">
        <f>_xlfn.XLOOKUP(TB_Venda[[#This Row],[Código do Produto]],TB_Produto[Código],TB_Produto[Nome do Produto])</f>
        <v>Saia Midi</v>
      </c>
      <c r="E46" t="str">
        <f>VLOOKUP(TB_Venda[[#This Row],[Código do Produto]],TB_Produto[],3,FALSE)</f>
        <v>Roupas Femininas</v>
      </c>
      <c r="F46" t="str" cm="1">
        <f t="array" ref="F46">_xlfn.IFS(LEFT(TB_Venda[[#This Row],[Categoria]],5)="Roupa","Roupa",LEFT(TB_Venda[[#This Row],[Categoria]],7)="Calçado","Calçado",1,"Outros")</f>
        <v>Roupa</v>
      </c>
      <c r="G46" t="s">
        <v>76</v>
      </c>
      <c r="H46" s="1">
        <v>1</v>
      </c>
      <c r="I46" s="4">
        <v>202.01219999999998</v>
      </c>
      <c r="J46" t="s">
        <v>95</v>
      </c>
    </row>
    <row r="47" spans="1:10" x14ac:dyDescent="0.25">
      <c r="A47" t="s">
        <v>148</v>
      </c>
      <c r="B47" s="3">
        <v>45672</v>
      </c>
      <c r="C47" t="s">
        <v>18</v>
      </c>
      <c r="D47" t="str">
        <f>_xlfn.XLOOKUP(TB_Venda[[#This Row],[Código do Produto]],TB_Produto[Código],TB_Produto[Nome do Produto])</f>
        <v>Camisa Social</v>
      </c>
      <c r="E47" t="str">
        <f>VLOOKUP(TB_Venda[[#This Row],[Código do Produto]],TB_Produto[],3,FALSE)</f>
        <v>Roupas Masculinas</v>
      </c>
      <c r="F47" t="str" cm="1">
        <f t="array" ref="F47">_xlfn.IFS(LEFT(TB_Venda[[#This Row],[Categoria]],5)="Roupa","Roupa",LEFT(TB_Venda[[#This Row],[Categoria]],7)="Calçado","Calçado",1,"Outros")</f>
        <v>Roupa</v>
      </c>
      <c r="G47" t="s">
        <v>81</v>
      </c>
      <c r="H47" s="1">
        <v>4</v>
      </c>
      <c r="I47" s="4">
        <v>386.78640000000001</v>
      </c>
      <c r="J47" t="s">
        <v>96</v>
      </c>
    </row>
    <row r="48" spans="1:10" x14ac:dyDescent="0.25">
      <c r="A48" t="s">
        <v>149</v>
      </c>
      <c r="B48" s="3">
        <v>45686</v>
      </c>
      <c r="C48" t="s">
        <v>33</v>
      </c>
      <c r="D48" t="str">
        <f>_xlfn.XLOOKUP(TB_Venda[[#This Row],[Código do Produto]],TB_Produto[Código],TB_Produto[Nome do Produto])</f>
        <v>Camisa de Linho</v>
      </c>
      <c r="E48" t="str">
        <f>VLOOKUP(TB_Venda[[#This Row],[Código do Produto]],TB_Produto[],3,FALSE)</f>
        <v>Roupas Masculinas</v>
      </c>
      <c r="F48" t="str" cm="1">
        <f t="array" ref="F48">_xlfn.IFS(LEFT(TB_Venda[[#This Row],[Categoria]],5)="Roupa","Roupa",LEFT(TB_Venda[[#This Row],[Categoria]],7)="Calçado","Calçado",1,"Outros")</f>
        <v>Roupa</v>
      </c>
      <c r="G48" t="s">
        <v>75</v>
      </c>
      <c r="H48" s="1">
        <v>5</v>
      </c>
      <c r="I48" s="4">
        <v>93.891599999999997</v>
      </c>
      <c r="J48" t="s">
        <v>94</v>
      </c>
    </row>
    <row r="49" spans="1:10" x14ac:dyDescent="0.25">
      <c r="A49" t="s">
        <v>150</v>
      </c>
      <c r="B49" s="3">
        <v>45827</v>
      </c>
      <c r="C49" t="s">
        <v>17</v>
      </c>
      <c r="D49" t="str">
        <f>_xlfn.XLOOKUP(TB_Venda[[#This Row],[Código do Produto]],TB_Produto[Código],TB_Produto[Nome do Produto])</f>
        <v>Tênis Casual</v>
      </c>
      <c r="E49" t="str">
        <f>VLOOKUP(TB_Venda[[#This Row],[Código do Produto]],TB_Produto[],3,FALSE)</f>
        <v>Calçados</v>
      </c>
      <c r="F49" t="str" cm="1">
        <f t="array" ref="F49">_xlfn.IFS(LEFT(TB_Venda[[#This Row],[Categoria]],5)="Roupa","Roupa",LEFT(TB_Venda[[#This Row],[Categoria]],7)="Calçado","Calçado",1,"Outros")</f>
        <v>Calçado</v>
      </c>
      <c r="G49" t="s">
        <v>77</v>
      </c>
      <c r="H49" s="1">
        <v>4</v>
      </c>
      <c r="I49" s="4">
        <v>245.36260000000001</v>
      </c>
      <c r="J49" t="s">
        <v>96</v>
      </c>
    </row>
    <row r="50" spans="1:10" x14ac:dyDescent="0.25">
      <c r="A50" t="s">
        <v>151</v>
      </c>
      <c r="B50" s="3">
        <v>45673</v>
      </c>
      <c r="C50" t="s">
        <v>19</v>
      </c>
      <c r="D50" t="str">
        <f>_xlfn.XLOOKUP(TB_Venda[[#This Row],[Código do Produto]],TB_Produto[Código],TB_Produto[Nome do Produto])</f>
        <v>Macacão</v>
      </c>
      <c r="E50" t="str">
        <f>VLOOKUP(TB_Venda[[#This Row],[Código do Produto]],TB_Produto[],3,FALSE)</f>
        <v>Roupas Femininas</v>
      </c>
      <c r="F50" t="str" cm="1">
        <f t="array" ref="F50">_xlfn.IFS(LEFT(TB_Venda[[#This Row],[Categoria]],5)="Roupa","Roupa",LEFT(TB_Venda[[#This Row],[Categoria]],7)="Calçado","Calçado",1,"Outros")</f>
        <v>Roupa</v>
      </c>
      <c r="G50" t="s">
        <v>79</v>
      </c>
      <c r="H50" s="1">
        <v>1</v>
      </c>
      <c r="I50" s="4">
        <v>141.94560000000001</v>
      </c>
      <c r="J50" t="s">
        <v>96</v>
      </c>
    </row>
    <row r="51" spans="1:10" x14ac:dyDescent="0.25">
      <c r="A51" t="s">
        <v>152</v>
      </c>
      <c r="B51" s="3">
        <v>45695</v>
      </c>
      <c r="C51" t="s">
        <v>14</v>
      </c>
      <c r="D51" t="str">
        <f>_xlfn.XLOOKUP(TB_Venda[[#This Row],[Código do Produto]],TB_Produto[Código],TB_Produto[Nome do Produto])</f>
        <v>Camiseta Básica</v>
      </c>
      <c r="E51" t="str">
        <f>VLOOKUP(TB_Venda[[#This Row],[Código do Produto]],TB_Produto[],3,FALSE)</f>
        <v>Roupas Unissex</v>
      </c>
      <c r="F51" t="str" cm="1">
        <f t="array" ref="F51">_xlfn.IFS(LEFT(TB_Venda[[#This Row],[Categoria]],5)="Roupa","Roupa",LEFT(TB_Venda[[#This Row],[Categoria]],7)="Calçado","Calçado",1,"Outros")</f>
        <v>Roupa</v>
      </c>
      <c r="G51" t="s">
        <v>76</v>
      </c>
      <c r="H51" s="1">
        <v>2</v>
      </c>
      <c r="I51" s="4">
        <v>165.27959999999999</v>
      </c>
      <c r="J51" t="s">
        <v>95</v>
      </c>
    </row>
    <row r="52" spans="1:10" x14ac:dyDescent="0.25">
      <c r="A52" t="s">
        <v>153</v>
      </c>
      <c r="B52" s="3">
        <v>45693</v>
      </c>
      <c r="C52" t="s">
        <v>7</v>
      </c>
      <c r="D52" t="str">
        <f>_xlfn.XLOOKUP(TB_Venda[[#This Row],[Código do Produto]],TB_Produto[Código],TB_Produto[Nome do Produto])</f>
        <v>Blusa de Frio</v>
      </c>
      <c r="E52" t="str">
        <f>VLOOKUP(TB_Venda[[#This Row],[Código do Produto]],TB_Produto[],3,FALSE)</f>
        <v>Roupas Femininas</v>
      </c>
      <c r="F52" t="str" cm="1">
        <f t="array" ref="F52">_xlfn.IFS(LEFT(TB_Venda[[#This Row],[Categoria]],5)="Roupa","Roupa",LEFT(TB_Venda[[#This Row],[Categoria]],7)="Calçado","Calçado",1,"Outros")</f>
        <v>Roupa</v>
      </c>
      <c r="G52" t="s">
        <v>73</v>
      </c>
      <c r="H52" s="1">
        <v>2</v>
      </c>
      <c r="I52" s="4">
        <v>282.00810000000001</v>
      </c>
      <c r="J52" t="s">
        <v>92</v>
      </c>
    </row>
    <row r="53" spans="1:10" x14ac:dyDescent="0.25">
      <c r="A53" t="s">
        <v>154</v>
      </c>
      <c r="B53" s="3">
        <v>45780</v>
      </c>
      <c r="C53" t="s">
        <v>19</v>
      </c>
      <c r="D53" t="str">
        <f>_xlfn.XLOOKUP(TB_Venda[[#This Row],[Código do Produto]],TB_Produto[Código],TB_Produto[Nome do Produto])</f>
        <v>Macacão</v>
      </c>
      <c r="E53" t="str">
        <f>VLOOKUP(TB_Venda[[#This Row],[Código do Produto]],TB_Produto[],3,FALSE)</f>
        <v>Roupas Femininas</v>
      </c>
      <c r="F53" t="str" cm="1">
        <f t="array" ref="F53">_xlfn.IFS(LEFT(TB_Venda[[#This Row],[Categoria]],5)="Roupa","Roupa",LEFT(TB_Venda[[#This Row],[Categoria]],7)="Calçado","Calçado",1,"Outros")</f>
        <v>Roupa</v>
      </c>
      <c r="G53" t="s">
        <v>79</v>
      </c>
      <c r="H53" s="1">
        <v>1</v>
      </c>
      <c r="I53" s="4">
        <v>133.07400000000001</v>
      </c>
      <c r="J53" t="s">
        <v>96</v>
      </c>
    </row>
    <row r="54" spans="1:10" x14ac:dyDescent="0.25">
      <c r="A54" t="s">
        <v>155</v>
      </c>
      <c r="B54" s="3">
        <v>45753</v>
      </c>
      <c r="C54" t="s">
        <v>27</v>
      </c>
      <c r="D54" t="str">
        <f>_xlfn.XLOOKUP(TB_Venda[[#This Row],[Código do Produto]],TB_Produto[Código],TB_Produto[Nome do Produto])</f>
        <v>Top Fitness</v>
      </c>
      <c r="E54" t="str">
        <f>VLOOKUP(TB_Venda[[#This Row],[Código do Produto]],TB_Produto[],3,FALSE)</f>
        <v>Roupas Femininas</v>
      </c>
      <c r="F54" t="str" cm="1">
        <f t="array" ref="F54">_xlfn.IFS(LEFT(TB_Venda[[#This Row],[Categoria]],5)="Roupa","Roupa",LEFT(TB_Venda[[#This Row],[Categoria]],7)="Calçado","Calçado",1,"Outros")</f>
        <v>Roupa</v>
      </c>
      <c r="G54" t="s">
        <v>80</v>
      </c>
      <c r="H54" s="1">
        <v>5</v>
      </c>
      <c r="I54" s="4">
        <v>82.576099999999997</v>
      </c>
      <c r="J54" t="s">
        <v>92</v>
      </c>
    </row>
    <row r="55" spans="1:10" x14ac:dyDescent="0.25">
      <c r="A55" t="s">
        <v>156</v>
      </c>
      <c r="B55" s="3">
        <v>45822</v>
      </c>
      <c r="C55" t="s">
        <v>13</v>
      </c>
      <c r="D55" t="str">
        <f>_xlfn.XLOOKUP(TB_Venda[[#This Row],[Código do Produto]],TB_Produto[Código],TB_Produto[Nome do Produto])</f>
        <v>Saia Midi</v>
      </c>
      <c r="E55" t="str">
        <f>VLOOKUP(TB_Venda[[#This Row],[Código do Produto]],TB_Produto[],3,FALSE)</f>
        <v>Roupas Femininas</v>
      </c>
      <c r="F55" t="str" cm="1">
        <f t="array" ref="F55">_xlfn.IFS(LEFT(TB_Venda[[#This Row],[Categoria]],5)="Roupa","Roupa",LEFT(TB_Venda[[#This Row],[Categoria]],7)="Calçado","Calçado",1,"Outros")</f>
        <v>Roupa</v>
      </c>
      <c r="G55" t="s">
        <v>75</v>
      </c>
      <c r="H55" s="1">
        <v>2</v>
      </c>
      <c r="I55" s="4">
        <v>191.5992</v>
      </c>
      <c r="J55" t="s">
        <v>94</v>
      </c>
    </row>
    <row r="56" spans="1:10" x14ac:dyDescent="0.25">
      <c r="A56" t="s">
        <v>157</v>
      </c>
      <c r="B56" s="3">
        <v>45774</v>
      </c>
      <c r="C56" t="s">
        <v>28</v>
      </c>
      <c r="D56" t="str">
        <f>_xlfn.XLOOKUP(TB_Venda[[#This Row],[Código do Produto]],TB_Produto[Código],TB_Produto[Nome do Produto])</f>
        <v>Legging Esportiva</v>
      </c>
      <c r="E56" t="str">
        <f>VLOOKUP(TB_Venda[[#This Row],[Código do Produto]],TB_Produto[],3,FALSE)</f>
        <v>Roupas Femininas</v>
      </c>
      <c r="F56" t="str" cm="1">
        <f t="array" ref="F56">_xlfn.IFS(LEFT(TB_Venda[[#This Row],[Categoria]],5)="Roupa","Roupa",LEFT(TB_Venda[[#This Row],[Categoria]],7)="Calçado","Calçado",1,"Outros")</f>
        <v>Roupa</v>
      </c>
      <c r="G56" t="s">
        <v>81</v>
      </c>
      <c r="H56" s="1">
        <v>4</v>
      </c>
      <c r="I56" s="4">
        <v>340.0917</v>
      </c>
      <c r="J56" t="s">
        <v>96</v>
      </c>
    </row>
    <row r="57" spans="1:10" x14ac:dyDescent="0.25">
      <c r="A57" t="s">
        <v>158</v>
      </c>
      <c r="B57" s="3">
        <v>45667</v>
      </c>
      <c r="C57" t="s">
        <v>33</v>
      </c>
      <c r="D57" t="str">
        <f>_xlfn.XLOOKUP(TB_Venda[[#This Row],[Código do Produto]],TB_Produto[Código],TB_Produto[Nome do Produto])</f>
        <v>Camisa de Linho</v>
      </c>
      <c r="E57" t="str">
        <f>VLOOKUP(TB_Venda[[#This Row],[Código do Produto]],TB_Produto[],3,FALSE)</f>
        <v>Roupas Masculinas</v>
      </c>
      <c r="F57" t="str" cm="1">
        <f t="array" ref="F57">_xlfn.IFS(LEFT(TB_Venda[[#This Row],[Categoria]],5)="Roupa","Roupa",LEFT(TB_Venda[[#This Row],[Categoria]],7)="Calçado","Calçado",1,"Outros")</f>
        <v>Roupa</v>
      </c>
      <c r="G57" t="s">
        <v>78</v>
      </c>
      <c r="H57" s="1">
        <v>4</v>
      </c>
      <c r="I57" s="4">
        <v>88.2012</v>
      </c>
      <c r="J57" t="s">
        <v>95</v>
      </c>
    </row>
    <row r="58" spans="1:10" x14ac:dyDescent="0.25">
      <c r="A58" t="s">
        <v>159</v>
      </c>
      <c r="B58" s="3">
        <v>45815</v>
      </c>
      <c r="C58" t="s">
        <v>20</v>
      </c>
      <c r="D58" t="str">
        <f>_xlfn.XLOOKUP(TB_Venda[[#This Row],[Código do Produto]],TB_Produto[Código],TB_Produto[Nome do Produto])</f>
        <v>Regata Masculina</v>
      </c>
      <c r="E58" t="str">
        <f>VLOOKUP(TB_Venda[[#This Row],[Código do Produto]],TB_Produto[],3,FALSE)</f>
        <v>Roupas Masculinas</v>
      </c>
      <c r="F58" t="str" cm="1">
        <f t="array" ref="F58">_xlfn.IFS(LEFT(TB_Venda[[#This Row],[Categoria]],5)="Roupa","Roupa",LEFT(TB_Venda[[#This Row],[Categoria]],7)="Calçado","Calçado",1,"Outros")</f>
        <v>Roupa</v>
      </c>
      <c r="G58" t="s">
        <v>79</v>
      </c>
      <c r="H58" s="1">
        <v>1</v>
      </c>
      <c r="I58" s="4">
        <v>434.24959999999999</v>
      </c>
      <c r="J58" t="s">
        <v>96</v>
      </c>
    </row>
    <row r="59" spans="1:10" x14ac:dyDescent="0.25">
      <c r="A59" t="s">
        <v>160</v>
      </c>
      <c r="B59" s="3">
        <v>45674</v>
      </c>
      <c r="C59" t="s">
        <v>10</v>
      </c>
      <c r="D59" t="str">
        <f>_xlfn.XLOOKUP(TB_Venda[[#This Row],[Código do Produto]],TB_Produto[Código],TB_Produto[Nome do Produto])</f>
        <v>Jaqueta Jeans</v>
      </c>
      <c r="E59" t="str">
        <f>VLOOKUP(TB_Venda[[#This Row],[Código do Produto]],TB_Produto[],3,FALSE)</f>
        <v>Roupas Unissex</v>
      </c>
      <c r="F59" t="str" cm="1">
        <f t="array" ref="F59">_xlfn.IFS(LEFT(TB_Venda[[#This Row],[Categoria]],5)="Roupa","Roupa",LEFT(TB_Venda[[#This Row],[Categoria]],7)="Calçado","Calçado",1,"Outros")</f>
        <v>Roupa</v>
      </c>
      <c r="G59" t="s">
        <v>81</v>
      </c>
      <c r="H59" s="1">
        <v>1</v>
      </c>
      <c r="I59" s="4">
        <v>261.8612</v>
      </c>
      <c r="J59" t="s">
        <v>96</v>
      </c>
    </row>
    <row r="60" spans="1:10" x14ac:dyDescent="0.25">
      <c r="A60" t="s">
        <v>161</v>
      </c>
      <c r="B60" s="3">
        <v>45700</v>
      </c>
      <c r="C60" t="s">
        <v>19</v>
      </c>
      <c r="D60" t="str">
        <f>_xlfn.XLOOKUP(TB_Venda[[#This Row],[Código do Produto]],TB_Produto[Código],TB_Produto[Nome do Produto])</f>
        <v>Macacão</v>
      </c>
      <c r="E60" t="str">
        <f>VLOOKUP(TB_Venda[[#This Row],[Código do Produto]],TB_Produto[],3,FALSE)</f>
        <v>Roupas Femininas</v>
      </c>
      <c r="F60" t="str" cm="1">
        <f t="array" ref="F60">_xlfn.IFS(LEFT(TB_Venda[[#This Row],[Categoria]],5)="Roupa","Roupa",LEFT(TB_Venda[[#This Row],[Categoria]],7)="Calçado","Calçado",1,"Outros")</f>
        <v>Roupa</v>
      </c>
      <c r="G60" t="s">
        <v>79</v>
      </c>
      <c r="H60" s="1">
        <v>2</v>
      </c>
      <c r="I60" s="4">
        <v>140.46700000000001</v>
      </c>
      <c r="J60" t="s">
        <v>96</v>
      </c>
    </row>
    <row r="61" spans="1:10" x14ac:dyDescent="0.25">
      <c r="A61" t="s">
        <v>162</v>
      </c>
      <c r="B61" s="3">
        <v>45791</v>
      </c>
      <c r="C61" t="s">
        <v>10</v>
      </c>
      <c r="D61" t="str">
        <f>_xlfn.XLOOKUP(TB_Venda[[#This Row],[Código do Produto]],TB_Produto[Código],TB_Produto[Nome do Produto])</f>
        <v>Jaqueta Jeans</v>
      </c>
      <c r="E61" t="str">
        <f>VLOOKUP(TB_Venda[[#This Row],[Código do Produto]],TB_Produto[],3,FALSE)</f>
        <v>Roupas Unissex</v>
      </c>
      <c r="F61" t="str" cm="1">
        <f t="array" ref="F61">_xlfn.IFS(LEFT(TB_Venda[[#This Row],[Categoria]],5)="Roupa","Roupa",LEFT(TB_Venda[[#This Row],[Categoria]],7)="Calçado","Calçado",1,"Outros")</f>
        <v>Roupa</v>
      </c>
      <c r="G61" t="s">
        <v>74</v>
      </c>
      <c r="H61" s="1">
        <v>3</v>
      </c>
      <c r="I61" s="4">
        <v>251.06279999999998</v>
      </c>
      <c r="J61" t="s">
        <v>93</v>
      </c>
    </row>
    <row r="62" spans="1:10" x14ac:dyDescent="0.25">
      <c r="A62" t="s">
        <v>163</v>
      </c>
      <c r="B62" s="3">
        <v>45756</v>
      </c>
      <c r="C62" t="s">
        <v>31</v>
      </c>
      <c r="D62" t="str">
        <f>_xlfn.XLOOKUP(TB_Venda[[#This Row],[Código do Produto]],TB_Produto[Código],TB_Produto[Nome do Produto])</f>
        <v>Sapato Social</v>
      </c>
      <c r="E62" t="str">
        <f>VLOOKUP(TB_Venda[[#This Row],[Código do Produto]],TB_Produto[],3,FALSE)</f>
        <v>Calçados</v>
      </c>
      <c r="F62" t="str" cm="1">
        <f t="array" ref="F62">_xlfn.IFS(LEFT(TB_Venda[[#This Row],[Categoria]],5)="Roupa","Roupa",LEFT(TB_Venda[[#This Row],[Categoria]],7)="Calçado","Calçado",1,"Outros")</f>
        <v>Calçado</v>
      </c>
      <c r="G62" t="s">
        <v>74</v>
      </c>
      <c r="H62" s="1">
        <v>5</v>
      </c>
      <c r="I62" s="4">
        <v>282.57569999999998</v>
      </c>
      <c r="J62" t="s">
        <v>93</v>
      </c>
    </row>
    <row r="63" spans="1:10" x14ac:dyDescent="0.25">
      <c r="A63" t="s">
        <v>164</v>
      </c>
      <c r="B63" s="3">
        <v>45721</v>
      </c>
      <c r="C63" t="s">
        <v>28</v>
      </c>
      <c r="D63" t="str">
        <f>_xlfn.XLOOKUP(TB_Venda[[#This Row],[Código do Produto]],TB_Produto[Código],TB_Produto[Nome do Produto])</f>
        <v>Legging Esportiva</v>
      </c>
      <c r="E63" t="str">
        <f>VLOOKUP(TB_Venda[[#This Row],[Código do Produto]],TB_Produto[],3,FALSE)</f>
        <v>Roupas Femininas</v>
      </c>
      <c r="F63" t="str" cm="1">
        <f t="array" ref="F63">_xlfn.IFS(LEFT(TB_Venda[[#This Row],[Categoria]],5)="Roupa","Roupa",LEFT(TB_Venda[[#This Row],[Categoria]],7)="Calçado","Calçado",1,"Outros")</f>
        <v>Roupa</v>
      </c>
      <c r="G63" t="s">
        <v>72</v>
      </c>
      <c r="H63" s="1">
        <v>1</v>
      </c>
      <c r="I63" s="4">
        <v>351.06240000000003</v>
      </c>
      <c r="J63" t="s">
        <v>92</v>
      </c>
    </row>
    <row r="64" spans="1:10" x14ac:dyDescent="0.25">
      <c r="A64" t="s">
        <v>165</v>
      </c>
      <c r="B64" s="3">
        <v>45707</v>
      </c>
      <c r="C64" t="s">
        <v>26</v>
      </c>
      <c r="D64" t="str">
        <f>_xlfn.XLOOKUP(TB_Venda[[#This Row],[Código do Produto]],TB_Produto[Código],TB_Produto[Nome do Produto])</f>
        <v>Sandália Rasteira</v>
      </c>
      <c r="E64" t="str">
        <f>VLOOKUP(TB_Venda[[#This Row],[Código do Produto]],TB_Produto[],3,FALSE)</f>
        <v>Calçados</v>
      </c>
      <c r="F64" t="str" cm="1">
        <f t="array" ref="F64">_xlfn.IFS(LEFT(TB_Venda[[#This Row],[Categoria]],5)="Roupa","Roupa",LEFT(TB_Venda[[#This Row],[Categoria]],7)="Calçado","Calçado",1,"Outros")</f>
        <v>Calçado</v>
      </c>
      <c r="G64" t="s">
        <v>73</v>
      </c>
      <c r="H64" s="1">
        <v>5</v>
      </c>
      <c r="I64" s="4">
        <v>386.41919999999999</v>
      </c>
      <c r="J64" t="s">
        <v>92</v>
      </c>
    </row>
    <row r="65" spans="1:10" x14ac:dyDescent="0.25">
      <c r="A65" t="s">
        <v>166</v>
      </c>
      <c r="B65" s="3">
        <v>45701</v>
      </c>
      <c r="C65" t="s">
        <v>9</v>
      </c>
      <c r="D65" t="str">
        <f>_xlfn.XLOOKUP(TB_Venda[[#This Row],[Código do Produto]],TB_Produto[Código],TB_Produto[Nome do Produto])</f>
        <v>Vestido Longo</v>
      </c>
      <c r="E65" t="str">
        <f>VLOOKUP(TB_Venda[[#This Row],[Código do Produto]],TB_Produto[],3,FALSE)</f>
        <v>Roupas Femininas</v>
      </c>
      <c r="F65" t="str" cm="1">
        <f t="array" ref="F65">_xlfn.IFS(LEFT(TB_Venda[[#This Row],[Categoria]],5)="Roupa","Roupa",LEFT(TB_Venda[[#This Row],[Categoria]],7)="Calçado","Calçado",1,"Outros")</f>
        <v>Roupa</v>
      </c>
      <c r="G65" t="s">
        <v>78</v>
      </c>
      <c r="H65" s="1">
        <v>4</v>
      </c>
      <c r="I65" s="4">
        <v>79.873200000000011</v>
      </c>
      <c r="J65" t="s">
        <v>95</v>
      </c>
    </row>
    <row r="66" spans="1:10" x14ac:dyDescent="0.25">
      <c r="A66" t="s">
        <v>167</v>
      </c>
      <c r="B66" s="3">
        <v>45658</v>
      </c>
      <c r="C66" t="s">
        <v>28</v>
      </c>
      <c r="D66" t="str">
        <f>_xlfn.XLOOKUP(TB_Venda[[#This Row],[Código do Produto]],TB_Produto[Código],TB_Produto[Nome do Produto])</f>
        <v>Legging Esportiva</v>
      </c>
      <c r="E66" t="str">
        <f>VLOOKUP(TB_Venda[[#This Row],[Código do Produto]],TB_Produto[],3,FALSE)</f>
        <v>Roupas Femininas</v>
      </c>
      <c r="F66" t="str" cm="1">
        <f t="array" ref="F66">_xlfn.IFS(LEFT(TB_Venda[[#This Row],[Categoria]],5)="Roupa","Roupa",LEFT(TB_Venda[[#This Row],[Categoria]],7)="Calçado","Calçado",1,"Outros")</f>
        <v>Roupa</v>
      </c>
      <c r="G66" t="s">
        <v>77</v>
      </c>
      <c r="H66" s="1">
        <v>3</v>
      </c>
      <c r="I66" s="4">
        <v>358.37619999999998</v>
      </c>
      <c r="J66" t="s">
        <v>96</v>
      </c>
    </row>
    <row r="67" spans="1:10" x14ac:dyDescent="0.25">
      <c r="A67" t="s">
        <v>168</v>
      </c>
      <c r="B67" s="3">
        <v>45761</v>
      </c>
      <c r="C67" t="s">
        <v>17</v>
      </c>
      <c r="D67" t="str">
        <f>_xlfn.XLOOKUP(TB_Venda[[#This Row],[Código do Produto]],TB_Produto[Código],TB_Produto[Nome do Produto])</f>
        <v>Tênis Casual</v>
      </c>
      <c r="E67" t="str">
        <f>VLOOKUP(TB_Venda[[#This Row],[Código do Produto]],TB_Produto[],3,FALSE)</f>
        <v>Calçados</v>
      </c>
      <c r="F67" t="str" cm="1">
        <f t="array" ref="F67">_xlfn.IFS(LEFT(TB_Venda[[#This Row],[Categoria]],5)="Roupa","Roupa",LEFT(TB_Venda[[#This Row],[Categoria]],7)="Calçado","Calçado",1,"Outros")</f>
        <v>Calçado</v>
      </c>
      <c r="G67" t="s">
        <v>79</v>
      </c>
      <c r="H67" s="1">
        <v>5</v>
      </c>
      <c r="I67" s="4">
        <v>230.34039999999999</v>
      </c>
      <c r="J67" t="s">
        <v>96</v>
      </c>
    </row>
    <row r="68" spans="1:10" x14ac:dyDescent="0.25">
      <c r="A68" t="s">
        <v>169</v>
      </c>
      <c r="B68" s="3">
        <v>45815</v>
      </c>
      <c r="C68" t="s">
        <v>10</v>
      </c>
      <c r="D68" t="str">
        <f>_xlfn.XLOOKUP(TB_Venda[[#This Row],[Código do Produto]],TB_Produto[Código],TB_Produto[Nome do Produto])</f>
        <v>Jaqueta Jeans</v>
      </c>
      <c r="E68" t="str">
        <f>VLOOKUP(TB_Venda[[#This Row],[Código do Produto]],TB_Produto[],3,FALSE)</f>
        <v>Roupas Unissex</v>
      </c>
      <c r="F68" t="str" cm="1">
        <f t="array" ref="F68">_xlfn.IFS(LEFT(TB_Venda[[#This Row],[Categoria]],5)="Roupa","Roupa",LEFT(TB_Venda[[#This Row],[Categoria]],7)="Calçado","Calçado",1,"Outros")</f>
        <v>Roupa</v>
      </c>
      <c r="G68" t="s">
        <v>73</v>
      </c>
      <c r="H68" s="1">
        <v>1</v>
      </c>
      <c r="I68" s="4">
        <v>251.06279999999998</v>
      </c>
      <c r="J68" t="s">
        <v>92</v>
      </c>
    </row>
    <row r="69" spans="1:10" x14ac:dyDescent="0.25">
      <c r="A69" t="s">
        <v>170</v>
      </c>
      <c r="B69" s="3">
        <v>45777</v>
      </c>
      <c r="C69" t="s">
        <v>15</v>
      </c>
      <c r="D69" t="str">
        <f>_xlfn.XLOOKUP(TB_Venda[[#This Row],[Código do Produto]],TB_Produto[Código],TB_Produto[Nome do Produto])</f>
        <v>Bota Feminina</v>
      </c>
      <c r="E69" t="str">
        <f>VLOOKUP(TB_Venda[[#This Row],[Código do Produto]],TB_Produto[],3,FALSE)</f>
        <v>Calçados</v>
      </c>
      <c r="F69" t="str" cm="1">
        <f t="array" ref="F69">_xlfn.IFS(LEFT(TB_Venda[[#This Row],[Categoria]],5)="Roupa","Roupa",LEFT(TB_Venda[[#This Row],[Categoria]],7)="Calçado","Calçado",1,"Outros")</f>
        <v>Calçado</v>
      </c>
      <c r="G69" t="s">
        <v>76</v>
      </c>
      <c r="H69" s="1">
        <v>1</v>
      </c>
      <c r="I69" s="4">
        <v>454.66399999999999</v>
      </c>
      <c r="J69" t="s">
        <v>95</v>
      </c>
    </row>
    <row r="70" spans="1:10" x14ac:dyDescent="0.25">
      <c r="A70" t="s">
        <v>171</v>
      </c>
      <c r="B70" s="3">
        <v>45763</v>
      </c>
      <c r="C70" t="s">
        <v>16</v>
      </c>
      <c r="D70" t="str">
        <f>_xlfn.XLOOKUP(TB_Venda[[#This Row],[Código do Produto]],TB_Produto[Código],TB_Produto[Nome do Produto])</f>
        <v>Shorts Jeans</v>
      </c>
      <c r="E70" t="str">
        <f>VLOOKUP(TB_Venda[[#This Row],[Código do Produto]],TB_Produto[],3,FALSE)</f>
        <v>Roupas Femininas</v>
      </c>
      <c r="F70" t="str" cm="1">
        <f t="array" ref="F70">_xlfn.IFS(LEFT(TB_Venda[[#This Row],[Categoria]],5)="Roupa","Roupa",LEFT(TB_Venda[[#This Row],[Categoria]],7)="Calçado","Calçado",1,"Outros")</f>
        <v>Roupa</v>
      </c>
      <c r="G70" t="s">
        <v>75</v>
      </c>
      <c r="H70" s="1">
        <v>4</v>
      </c>
      <c r="I70" s="4">
        <v>205.2244</v>
      </c>
      <c r="J70" t="s">
        <v>94</v>
      </c>
    </row>
    <row r="71" spans="1:10" x14ac:dyDescent="0.25">
      <c r="A71" t="s">
        <v>172</v>
      </c>
      <c r="B71" s="3">
        <v>45716</v>
      </c>
      <c r="C71" t="s">
        <v>19</v>
      </c>
      <c r="D71" t="str">
        <f>_xlfn.XLOOKUP(TB_Venda[[#This Row],[Código do Produto]],TB_Produto[Código],TB_Produto[Nome do Produto])</f>
        <v>Macacão</v>
      </c>
      <c r="E71" t="str">
        <f>VLOOKUP(TB_Venda[[#This Row],[Código do Produto]],TB_Produto[],3,FALSE)</f>
        <v>Roupas Femininas</v>
      </c>
      <c r="F71" t="str" cm="1">
        <f t="array" ref="F71">_xlfn.IFS(LEFT(TB_Venda[[#This Row],[Categoria]],5)="Roupa","Roupa",LEFT(TB_Venda[[#This Row],[Categoria]],7)="Calçado","Calçado",1,"Outros")</f>
        <v>Roupa</v>
      </c>
      <c r="G71" t="s">
        <v>72</v>
      </c>
      <c r="H71" s="1">
        <v>4</v>
      </c>
      <c r="I71" s="4">
        <v>138.98840000000001</v>
      </c>
      <c r="J71" t="s">
        <v>92</v>
      </c>
    </row>
    <row r="72" spans="1:10" x14ac:dyDescent="0.25">
      <c r="A72" t="s">
        <v>173</v>
      </c>
      <c r="B72" s="3">
        <v>45683</v>
      </c>
      <c r="C72" t="s">
        <v>20</v>
      </c>
      <c r="D72" t="str">
        <f>_xlfn.XLOOKUP(TB_Venda[[#This Row],[Código do Produto]],TB_Produto[Código],TB_Produto[Nome do Produto])</f>
        <v>Regata Masculina</v>
      </c>
      <c r="E72" t="str">
        <f>VLOOKUP(TB_Venda[[#This Row],[Código do Produto]],TB_Produto[],3,FALSE)</f>
        <v>Roupas Masculinas</v>
      </c>
      <c r="F72" t="str" cm="1">
        <f t="array" ref="F72">_xlfn.IFS(LEFT(TB_Venda[[#This Row],[Categoria]],5)="Roupa","Roupa",LEFT(TB_Venda[[#This Row],[Categoria]],7)="Calçado","Calçado",1,"Outros")</f>
        <v>Roupa</v>
      </c>
      <c r="G72" t="s">
        <v>80</v>
      </c>
      <c r="H72" s="1">
        <v>2</v>
      </c>
      <c r="I72" s="4">
        <v>443.20319999999998</v>
      </c>
      <c r="J72" t="s">
        <v>92</v>
      </c>
    </row>
    <row r="73" spans="1:10" x14ac:dyDescent="0.25">
      <c r="A73" t="s">
        <v>174</v>
      </c>
      <c r="B73" s="3">
        <v>45811</v>
      </c>
      <c r="C73" t="s">
        <v>8</v>
      </c>
      <c r="D73" t="str">
        <f>_xlfn.XLOOKUP(TB_Venda[[#This Row],[Código do Produto]],TB_Produto[Código],TB_Produto[Nome do Produto])</f>
        <v>Sandália Casual</v>
      </c>
      <c r="E73" t="str">
        <f>VLOOKUP(TB_Venda[[#This Row],[Código do Produto]],TB_Produto[],3,FALSE)</f>
        <v>Calçados</v>
      </c>
      <c r="F73" t="str" cm="1">
        <f t="array" ref="F73">_xlfn.IFS(LEFT(TB_Venda[[#This Row],[Categoria]],5)="Roupa","Roupa",LEFT(TB_Venda[[#This Row],[Categoria]],7)="Calçado","Calçado",1,"Outros")</f>
        <v>Calçado</v>
      </c>
      <c r="G73" t="s">
        <v>79</v>
      </c>
      <c r="H73" s="1">
        <v>5</v>
      </c>
      <c r="I73" s="4">
        <v>404.09280000000001</v>
      </c>
      <c r="J73" t="s">
        <v>96</v>
      </c>
    </row>
    <row r="74" spans="1:10" x14ac:dyDescent="0.25">
      <c r="A74" t="s">
        <v>175</v>
      </c>
      <c r="B74" s="3">
        <v>45835</v>
      </c>
      <c r="C74" t="s">
        <v>5</v>
      </c>
      <c r="D74" t="str">
        <f>_xlfn.XLOOKUP(TB_Venda[[#This Row],[Código do Produto]],TB_Produto[Código],TB_Produto[Nome do Produto])</f>
        <v>Tênis Esportivo</v>
      </c>
      <c r="E74" t="str">
        <f>VLOOKUP(TB_Venda[[#This Row],[Código do Produto]],TB_Produto[],3,FALSE)</f>
        <v>Calçados</v>
      </c>
      <c r="F74" t="str" cm="1">
        <f t="array" ref="F74">_xlfn.IFS(LEFT(TB_Venda[[#This Row],[Categoria]],5)="Roupa","Roupa",LEFT(TB_Venda[[#This Row],[Categoria]],7)="Calçado","Calçado",1,"Outros")</f>
        <v>Calçado</v>
      </c>
      <c r="G74" t="s">
        <v>73</v>
      </c>
      <c r="H74" s="1">
        <v>3</v>
      </c>
      <c r="I74" s="4">
        <v>425.02160000000003</v>
      </c>
      <c r="J74" t="s">
        <v>92</v>
      </c>
    </row>
    <row r="75" spans="1:10" x14ac:dyDescent="0.25">
      <c r="A75" t="s">
        <v>176</v>
      </c>
      <c r="B75" s="3">
        <v>45793</v>
      </c>
      <c r="C75" t="s">
        <v>28</v>
      </c>
      <c r="D75" t="str">
        <f>_xlfn.XLOOKUP(TB_Venda[[#This Row],[Código do Produto]],TB_Produto[Código],TB_Produto[Nome do Produto])</f>
        <v>Legging Esportiva</v>
      </c>
      <c r="E75" t="str">
        <f>VLOOKUP(TB_Venda[[#This Row],[Código do Produto]],TB_Produto[],3,FALSE)</f>
        <v>Roupas Femininas</v>
      </c>
      <c r="F75" t="str" cm="1">
        <f t="array" ref="F75">_xlfn.IFS(LEFT(TB_Venda[[#This Row],[Categoria]],5)="Roupa","Roupa",LEFT(TB_Venda[[#This Row],[Categoria]],7)="Calçado","Calçado",1,"Outros")</f>
        <v>Roupa</v>
      </c>
      <c r="G75" t="s">
        <v>81</v>
      </c>
      <c r="H75" s="1">
        <v>1</v>
      </c>
      <c r="I75" s="4">
        <v>351.06240000000003</v>
      </c>
      <c r="J75" t="s">
        <v>96</v>
      </c>
    </row>
    <row r="76" spans="1:10" x14ac:dyDescent="0.25">
      <c r="A76" t="s">
        <v>177</v>
      </c>
      <c r="B76" s="3">
        <v>45676</v>
      </c>
      <c r="C76" t="s">
        <v>29</v>
      </c>
      <c r="D76" t="str">
        <f>_xlfn.XLOOKUP(TB_Venda[[#This Row],[Código do Produto]],TB_Produto[Código],TB_Produto[Nome do Produto])</f>
        <v>Camisa de Time</v>
      </c>
      <c r="E76" t="str">
        <f>VLOOKUP(TB_Venda[[#This Row],[Código do Produto]],TB_Produto[],3,FALSE)</f>
        <v>Roupas Masculinas</v>
      </c>
      <c r="F76" t="str" cm="1">
        <f t="array" ref="F76">_xlfn.IFS(LEFT(TB_Venda[[#This Row],[Categoria]],5)="Roupa","Roupa",LEFT(TB_Venda[[#This Row],[Categoria]],7)="Calçado","Calçado",1,"Outros")</f>
        <v>Roupa</v>
      </c>
      <c r="G76" t="s">
        <v>75</v>
      </c>
      <c r="H76" s="1">
        <v>4</v>
      </c>
      <c r="I76" s="4">
        <v>213.8458</v>
      </c>
      <c r="J76" t="s">
        <v>94</v>
      </c>
    </row>
    <row r="77" spans="1:10" x14ac:dyDescent="0.25">
      <c r="A77" t="s">
        <v>178</v>
      </c>
      <c r="B77" s="3">
        <v>45681</v>
      </c>
      <c r="C77" t="s">
        <v>34</v>
      </c>
      <c r="D77" t="str">
        <f>_xlfn.XLOOKUP(TB_Venda[[#This Row],[Código do Produto]],TB_Produto[Código],TB_Produto[Nome do Produto])</f>
        <v>Vestido Estampado</v>
      </c>
      <c r="E77" t="str">
        <f>VLOOKUP(TB_Venda[[#This Row],[Código do Produto]],TB_Produto[],3,FALSE)</f>
        <v>Roupas Femininas</v>
      </c>
      <c r="F77" t="str" cm="1">
        <f t="array" ref="F77">_xlfn.IFS(LEFT(TB_Venda[[#This Row],[Categoria]],5)="Roupa","Roupa",LEFT(TB_Venda[[#This Row],[Categoria]],7)="Calçado","Calçado",1,"Outros")</f>
        <v>Roupa</v>
      </c>
      <c r="G77" t="s">
        <v>75</v>
      </c>
      <c r="H77" s="1">
        <v>4</v>
      </c>
      <c r="I77" s="4">
        <v>306.89069999999998</v>
      </c>
      <c r="J77" t="s">
        <v>94</v>
      </c>
    </row>
    <row r="78" spans="1:10" x14ac:dyDescent="0.25">
      <c r="A78" t="s">
        <v>179</v>
      </c>
      <c r="B78" s="3">
        <v>45770</v>
      </c>
      <c r="C78" t="s">
        <v>15</v>
      </c>
      <c r="D78" t="str">
        <f>_xlfn.XLOOKUP(TB_Venda[[#This Row],[Código do Produto]],TB_Produto[Código],TB_Produto[Nome do Produto])</f>
        <v>Bota Feminina</v>
      </c>
      <c r="E78" t="str">
        <f>VLOOKUP(TB_Venda[[#This Row],[Código do Produto]],TB_Produto[],3,FALSE)</f>
        <v>Calçados</v>
      </c>
      <c r="F78" t="str" cm="1">
        <f t="array" ref="F78">_xlfn.IFS(LEFT(TB_Venda[[#This Row],[Categoria]],5)="Roupa","Roupa",LEFT(TB_Venda[[#This Row],[Categoria]],7)="Calçado","Calçado",1,"Outros")</f>
        <v>Calçado</v>
      </c>
      <c r="G78" t="s">
        <v>77</v>
      </c>
      <c r="H78" s="1">
        <v>2</v>
      </c>
      <c r="I78" s="4">
        <v>464.548</v>
      </c>
      <c r="J78" t="s">
        <v>96</v>
      </c>
    </row>
    <row r="79" spans="1:10" x14ac:dyDescent="0.25">
      <c r="A79" t="s">
        <v>180</v>
      </c>
      <c r="B79" s="3">
        <v>45724</v>
      </c>
      <c r="C79" t="s">
        <v>9</v>
      </c>
      <c r="D79" t="str">
        <f>_xlfn.XLOOKUP(TB_Venda[[#This Row],[Código do Produto]],TB_Produto[Código],TB_Produto[Nome do Produto])</f>
        <v>Vestido Longo</v>
      </c>
      <c r="E79" t="str">
        <f>VLOOKUP(TB_Venda[[#This Row],[Código do Produto]],TB_Produto[],3,FALSE)</f>
        <v>Roupas Femininas</v>
      </c>
      <c r="F79" t="str" cm="1">
        <f t="array" ref="F79">_xlfn.IFS(LEFT(TB_Venda[[#This Row],[Categoria]],5)="Roupa","Roupa",LEFT(TB_Venda[[#This Row],[Categoria]],7)="Calçado","Calçado",1,"Outros")</f>
        <v>Roupa</v>
      </c>
      <c r="G79" t="s">
        <v>72</v>
      </c>
      <c r="H79" s="1">
        <v>1</v>
      </c>
      <c r="I79" s="4">
        <v>72.612000000000009</v>
      </c>
      <c r="J79" t="s">
        <v>92</v>
      </c>
    </row>
    <row r="80" spans="1:10" x14ac:dyDescent="0.25">
      <c r="A80" t="s">
        <v>181</v>
      </c>
      <c r="B80" s="3">
        <v>45691</v>
      </c>
      <c r="C80" t="s">
        <v>14</v>
      </c>
      <c r="D80" t="str">
        <f>_xlfn.XLOOKUP(TB_Venda[[#This Row],[Código do Produto]],TB_Produto[Código],TB_Produto[Nome do Produto])</f>
        <v>Camiseta Básica</v>
      </c>
      <c r="E80" t="str">
        <f>VLOOKUP(TB_Venda[[#This Row],[Código do Produto]],TB_Produto[],3,FALSE)</f>
        <v>Roupas Unissex</v>
      </c>
      <c r="F80" t="str" cm="1">
        <f t="array" ref="F80">_xlfn.IFS(LEFT(TB_Venda[[#This Row],[Categoria]],5)="Roupa","Roupa",LEFT(TB_Venda[[#This Row],[Categoria]],7)="Calçado","Calçado",1,"Outros")</f>
        <v>Roupa</v>
      </c>
      <c r="G80" t="s">
        <v>72</v>
      </c>
      <c r="H80" s="1">
        <v>1</v>
      </c>
      <c r="I80" s="4">
        <v>168.834</v>
      </c>
      <c r="J80" t="s">
        <v>92</v>
      </c>
    </row>
    <row r="81" spans="1:10" x14ac:dyDescent="0.25">
      <c r="A81" t="s">
        <v>182</v>
      </c>
      <c r="B81" s="3">
        <v>45662</v>
      </c>
      <c r="C81" t="s">
        <v>14</v>
      </c>
      <c r="D81" t="str">
        <f>_xlfn.XLOOKUP(TB_Venda[[#This Row],[Código do Produto]],TB_Produto[Código],TB_Produto[Nome do Produto])</f>
        <v>Camiseta Básica</v>
      </c>
      <c r="E81" t="str">
        <f>VLOOKUP(TB_Venda[[#This Row],[Código do Produto]],TB_Produto[],3,FALSE)</f>
        <v>Roupas Unissex</v>
      </c>
      <c r="F81" t="str" cm="1">
        <f t="array" ref="F81">_xlfn.IFS(LEFT(TB_Venda[[#This Row],[Categoria]],5)="Roupa","Roupa",LEFT(TB_Venda[[#This Row],[Categoria]],7)="Calçado","Calçado",1,"Outros")</f>
        <v>Roupa</v>
      </c>
      <c r="G81" t="s">
        <v>76</v>
      </c>
      <c r="H81" s="1">
        <v>2</v>
      </c>
      <c r="I81" s="4">
        <v>174.16560000000001</v>
      </c>
      <c r="J81" t="s">
        <v>95</v>
      </c>
    </row>
    <row r="82" spans="1:10" x14ac:dyDescent="0.25">
      <c r="A82" t="s">
        <v>183</v>
      </c>
      <c r="B82" s="3">
        <v>45810</v>
      </c>
      <c r="C82" t="s">
        <v>18</v>
      </c>
      <c r="D82" t="str">
        <f>_xlfn.XLOOKUP(TB_Venda[[#This Row],[Código do Produto]],TB_Produto[Código],TB_Produto[Nome do Produto])</f>
        <v>Camisa Social</v>
      </c>
      <c r="E82" t="str">
        <f>VLOOKUP(TB_Venda[[#This Row],[Código do Produto]],TB_Produto[],3,FALSE)</f>
        <v>Roupas Masculinas</v>
      </c>
      <c r="F82" t="str" cm="1">
        <f t="array" ref="F82">_xlfn.IFS(LEFT(TB_Venda[[#This Row],[Categoria]],5)="Roupa","Roupa",LEFT(TB_Venda[[#This Row],[Categoria]],7)="Calçado","Calçado",1,"Outros")</f>
        <v>Roupa</v>
      </c>
      <c r="G82" t="s">
        <v>78</v>
      </c>
      <c r="H82" s="1">
        <v>4</v>
      </c>
      <c r="I82" s="4">
        <v>403.78800000000001</v>
      </c>
      <c r="J82" t="s">
        <v>95</v>
      </c>
    </row>
    <row r="83" spans="1:10" x14ac:dyDescent="0.25">
      <c r="A83" t="s">
        <v>184</v>
      </c>
      <c r="B83" s="3">
        <v>45732</v>
      </c>
      <c r="C83" t="s">
        <v>5</v>
      </c>
      <c r="D83" t="str">
        <f>_xlfn.XLOOKUP(TB_Venda[[#This Row],[Código do Produto]],TB_Produto[Código],TB_Produto[Nome do Produto])</f>
        <v>Tênis Esportivo</v>
      </c>
      <c r="E83" t="str">
        <f>VLOOKUP(TB_Venda[[#This Row],[Código do Produto]],TB_Produto[],3,FALSE)</f>
        <v>Calçados</v>
      </c>
      <c r="F83" t="str" cm="1">
        <f t="array" ref="F83">_xlfn.IFS(LEFT(TB_Venda[[#This Row],[Categoria]],5)="Roupa","Roupa",LEFT(TB_Venda[[#This Row],[Categoria]],7)="Calçado","Calçado",1,"Outros")</f>
        <v>Calçado</v>
      </c>
      <c r="G83" t="s">
        <v>73</v>
      </c>
      <c r="H83" s="1">
        <v>3</v>
      </c>
      <c r="I83" s="4">
        <v>443.50080000000003</v>
      </c>
      <c r="J83" t="s">
        <v>92</v>
      </c>
    </row>
    <row r="84" spans="1:10" x14ac:dyDescent="0.25">
      <c r="A84" t="s">
        <v>185</v>
      </c>
      <c r="B84" s="3">
        <v>45706</v>
      </c>
      <c r="C84" t="s">
        <v>22</v>
      </c>
      <c r="D84" t="str">
        <f>_xlfn.XLOOKUP(TB_Venda[[#This Row],[Código do Produto]],TB_Produto[Código],TB_Produto[Nome do Produto])</f>
        <v>Mule Feminino</v>
      </c>
      <c r="E84" t="str">
        <f>VLOOKUP(TB_Venda[[#This Row],[Código do Produto]],TB_Produto[],3,FALSE)</f>
        <v>Calçados</v>
      </c>
      <c r="F84" t="str" cm="1">
        <f t="array" ref="F84">_xlfn.IFS(LEFT(TB_Venda[[#This Row],[Categoria]],5)="Roupa","Roupa",LEFT(TB_Venda[[#This Row],[Categoria]],7)="Calçado","Calçado",1,"Outros")</f>
        <v>Calçado</v>
      </c>
      <c r="G84" t="s">
        <v>74</v>
      </c>
      <c r="H84" s="1">
        <v>3</v>
      </c>
      <c r="I84" s="4">
        <v>72.620999999999995</v>
      </c>
      <c r="J84" t="s">
        <v>93</v>
      </c>
    </row>
    <row r="85" spans="1:10" x14ac:dyDescent="0.25">
      <c r="A85" t="s">
        <v>186</v>
      </c>
      <c r="B85" s="3">
        <v>45695</v>
      </c>
      <c r="C85" t="s">
        <v>18</v>
      </c>
      <c r="D85" t="str">
        <f>_xlfn.XLOOKUP(TB_Venda[[#This Row],[Código do Produto]],TB_Produto[Código],TB_Produto[Nome do Produto])</f>
        <v>Camisa Social</v>
      </c>
      <c r="E85" t="str">
        <f>VLOOKUP(TB_Venda[[#This Row],[Código do Produto]],TB_Produto[],3,FALSE)</f>
        <v>Roupas Masculinas</v>
      </c>
      <c r="F85" t="str" cm="1">
        <f t="array" ref="F85">_xlfn.IFS(LEFT(TB_Venda[[#This Row],[Categoria]],5)="Roupa","Roupa",LEFT(TB_Venda[[#This Row],[Categoria]],7)="Calçado","Calçado",1,"Outros")</f>
        <v>Roupa</v>
      </c>
      <c r="G85" t="s">
        <v>76</v>
      </c>
      <c r="H85" s="1">
        <v>4</v>
      </c>
      <c r="I85" s="4">
        <v>382.536</v>
      </c>
      <c r="J85" t="s">
        <v>95</v>
      </c>
    </row>
    <row r="86" spans="1:10" x14ac:dyDescent="0.25">
      <c r="A86" t="s">
        <v>187</v>
      </c>
      <c r="B86" s="3">
        <v>45706</v>
      </c>
      <c r="C86" t="s">
        <v>13</v>
      </c>
      <c r="D86" t="str">
        <f>_xlfn.XLOOKUP(TB_Venda[[#This Row],[Código do Produto]],TB_Produto[Código],TB_Produto[Nome do Produto])</f>
        <v>Saia Midi</v>
      </c>
      <c r="E86" t="str">
        <f>VLOOKUP(TB_Venda[[#This Row],[Código do Produto]],TB_Produto[],3,FALSE)</f>
        <v>Roupas Femininas</v>
      </c>
      <c r="F86" t="str" cm="1">
        <f t="array" ref="F86">_xlfn.IFS(LEFT(TB_Venda[[#This Row],[Categoria]],5)="Roupa","Roupa",LEFT(TB_Venda[[#This Row],[Categoria]],7)="Calçado","Calçado",1,"Outros")</f>
        <v>Roupa</v>
      </c>
      <c r="G86" t="s">
        <v>73</v>
      </c>
      <c r="H86" s="1">
        <v>4</v>
      </c>
      <c r="I86" s="4">
        <v>197.84699999999998</v>
      </c>
      <c r="J86" t="s">
        <v>92</v>
      </c>
    </row>
    <row r="87" spans="1:10" x14ac:dyDescent="0.25">
      <c r="A87" t="s">
        <v>188</v>
      </c>
      <c r="B87" s="3">
        <v>45681</v>
      </c>
      <c r="C87" t="s">
        <v>15</v>
      </c>
      <c r="D87" t="str">
        <f>_xlfn.XLOOKUP(TB_Venda[[#This Row],[Código do Produto]],TB_Produto[Código],TB_Produto[Nome do Produto])</f>
        <v>Bota Feminina</v>
      </c>
      <c r="E87" t="str">
        <f>VLOOKUP(TB_Venda[[#This Row],[Código do Produto]],TB_Produto[],3,FALSE)</f>
        <v>Calçados</v>
      </c>
      <c r="F87" t="str" cm="1">
        <f t="array" ref="F87">_xlfn.IFS(LEFT(TB_Venda[[#This Row],[Categoria]],5)="Roupa","Roupa",LEFT(TB_Venda[[#This Row],[Categoria]],7)="Calçado","Calçado",1,"Outros")</f>
        <v>Calçado</v>
      </c>
      <c r="G87" t="s">
        <v>72</v>
      </c>
      <c r="H87" s="1">
        <v>3</v>
      </c>
      <c r="I87" s="4">
        <v>449.72199999999998</v>
      </c>
      <c r="J87" t="s">
        <v>92</v>
      </c>
    </row>
    <row r="88" spans="1:10" x14ac:dyDescent="0.25">
      <c r="A88" t="s">
        <v>189</v>
      </c>
      <c r="B88" s="3">
        <v>45779</v>
      </c>
      <c r="C88" t="s">
        <v>33</v>
      </c>
      <c r="D88" t="str">
        <f>_xlfn.XLOOKUP(TB_Venda[[#This Row],[Código do Produto]],TB_Produto[Código],TB_Produto[Nome do Produto])</f>
        <v>Camisa de Linho</v>
      </c>
      <c r="E88" t="str">
        <f>VLOOKUP(TB_Venda[[#This Row],[Código do Produto]],TB_Produto[],3,FALSE)</f>
        <v>Roupas Masculinas</v>
      </c>
      <c r="F88" t="str" cm="1">
        <f t="array" ref="F88">_xlfn.IFS(LEFT(TB_Venda[[#This Row],[Categoria]],5)="Roupa","Roupa",LEFT(TB_Venda[[#This Row],[Categoria]],7)="Calçado","Calçado",1,"Outros")</f>
        <v>Roupa</v>
      </c>
      <c r="G88" t="s">
        <v>74</v>
      </c>
      <c r="H88" s="1">
        <v>3</v>
      </c>
      <c r="I88" s="4">
        <v>91.994799999999998</v>
      </c>
      <c r="J88" t="s">
        <v>93</v>
      </c>
    </row>
    <row r="89" spans="1:10" x14ac:dyDescent="0.25">
      <c r="A89" t="s">
        <v>190</v>
      </c>
      <c r="B89" s="3">
        <v>45726</v>
      </c>
      <c r="C89" t="s">
        <v>23</v>
      </c>
      <c r="D89" t="str">
        <f>_xlfn.XLOOKUP(TB_Venda[[#This Row],[Código do Produto]],TB_Produto[Código],TB_Produto[Nome do Produto])</f>
        <v>Moletom Unissex</v>
      </c>
      <c r="E89" t="str">
        <f>VLOOKUP(TB_Venda[[#This Row],[Código do Produto]],TB_Produto[],3,FALSE)</f>
        <v>Roupas Unissex</v>
      </c>
      <c r="F89" t="str" cm="1">
        <f t="array" ref="F89">_xlfn.IFS(LEFT(TB_Venda[[#This Row],[Categoria]],5)="Roupa","Roupa",LEFT(TB_Venda[[#This Row],[Categoria]],7)="Calçado","Calçado",1,"Outros")</f>
        <v>Roupa</v>
      </c>
      <c r="G89" t="s">
        <v>78</v>
      </c>
      <c r="H89" s="1">
        <v>3</v>
      </c>
      <c r="I89" s="4">
        <v>204.71850000000001</v>
      </c>
      <c r="J89" t="s">
        <v>95</v>
      </c>
    </row>
    <row r="90" spans="1:10" x14ac:dyDescent="0.25">
      <c r="A90" t="s">
        <v>191</v>
      </c>
      <c r="B90" s="3">
        <v>45825</v>
      </c>
      <c r="C90" t="s">
        <v>13</v>
      </c>
      <c r="D90" t="str">
        <f>_xlfn.XLOOKUP(TB_Venda[[#This Row],[Código do Produto]],TB_Produto[Código],TB_Produto[Nome do Produto])</f>
        <v>Saia Midi</v>
      </c>
      <c r="E90" t="str">
        <f>VLOOKUP(TB_Venda[[#This Row],[Código do Produto]],TB_Produto[],3,FALSE)</f>
        <v>Roupas Femininas</v>
      </c>
      <c r="F90" t="str" cm="1">
        <f t="array" ref="F90">_xlfn.IFS(LEFT(TB_Venda[[#This Row],[Categoria]],5)="Roupa","Roupa",LEFT(TB_Venda[[#This Row],[Categoria]],7)="Calçado","Calçado",1,"Outros")</f>
        <v>Roupa</v>
      </c>
      <c r="G90" t="s">
        <v>80</v>
      </c>
      <c r="H90" s="1">
        <v>5</v>
      </c>
      <c r="I90" s="4">
        <v>189.51659999999998</v>
      </c>
      <c r="J90" t="s">
        <v>92</v>
      </c>
    </row>
    <row r="91" spans="1:10" x14ac:dyDescent="0.25">
      <c r="A91" t="s">
        <v>192</v>
      </c>
      <c r="B91" s="3">
        <v>45755</v>
      </c>
      <c r="C91" t="s">
        <v>7</v>
      </c>
      <c r="D91" t="str">
        <f>_xlfn.XLOOKUP(TB_Venda[[#This Row],[Código do Produto]],TB_Produto[Código],TB_Produto[Nome do Produto])</f>
        <v>Blusa de Frio</v>
      </c>
      <c r="E91" t="str">
        <f>VLOOKUP(TB_Venda[[#This Row],[Código do Produto]],TB_Produto[],3,FALSE)</f>
        <v>Roupas Femininas</v>
      </c>
      <c r="F91" t="str" cm="1">
        <f t="array" ref="F91">_xlfn.IFS(LEFT(TB_Venda[[#This Row],[Categoria]],5)="Roupa","Roupa",LEFT(TB_Venda[[#This Row],[Categoria]],7)="Calçado","Calçado",1,"Outros")</f>
        <v>Roupa</v>
      </c>
      <c r="G91" t="s">
        <v>79</v>
      </c>
      <c r="H91" s="1">
        <v>2</v>
      </c>
      <c r="I91" s="4">
        <v>267.47160000000002</v>
      </c>
      <c r="J91" t="s">
        <v>96</v>
      </c>
    </row>
    <row r="92" spans="1:10" x14ac:dyDescent="0.25">
      <c r="A92" t="s">
        <v>193</v>
      </c>
      <c r="B92" s="3">
        <v>45712</v>
      </c>
      <c r="C92" t="s">
        <v>27</v>
      </c>
      <c r="D92" t="str">
        <f>_xlfn.XLOOKUP(TB_Venda[[#This Row],[Código do Produto]],TB_Produto[Código],TB_Produto[Nome do Produto])</f>
        <v>Top Fitness</v>
      </c>
      <c r="E92" t="str">
        <f>VLOOKUP(TB_Venda[[#This Row],[Código do Produto]],TB_Produto[],3,FALSE)</f>
        <v>Roupas Femininas</v>
      </c>
      <c r="F92" t="str" cm="1">
        <f t="array" ref="F92">_xlfn.IFS(LEFT(TB_Venda[[#This Row],[Categoria]],5)="Roupa","Roupa",LEFT(TB_Venda[[#This Row],[Categoria]],7)="Calçado","Calçado",1,"Outros")</f>
        <v>Roupa</v>
      </c>
      <c r="G92" t="s">
        <v>75</v>
      </c>
      <c r="H92" s="1">
        <v>5</v>
      </c>
      <c r="I92" s="4">
        <v>83.427399999999992</v>
      </c>
      <c r="J92" t="s">
        <v>94</v>
      </c>
    </row>
    <row r="93" spans="1:10" x14ac:dyDescent="0.25">
      <c r="A93" t="s">
        <v>194</v>
      </c>
      <c r="B93" s="3">
        <v>45717</v>
      </c>
      <c r="C93" t="s">
        <v>9</v>
      </c>
      <c r="D93" t="str">
        <f>_xlfn.XLOOKUP(TB_Venda[[#This Row],[Código do Produto]],TB_Produto[Código],TB_Produto[Nome do Produto])</f>
        <v>Vestido Longo</v>
      </c>
      <c r="E93" t="str">
        <f>VLOOKUP(TB_Venda[[#This Row],[Código do Produto]],TB_Produto[],3,FALSE)</f>
        <v>Roupas Femininas</v>
      </c>
      <c r="F93" t="str" cm="1">
        <f t="array" ref="F93">_xlfn.IFS(LEFT(TB_Venda[[#This Row],[Categoria]],5)="Roupa","Roupa",LEFT(TB_Venda[[#This Row],[Categoria]],7)="Calçado","Calçado",1,"Outros")</f>
        <v>Roupa</v>
      </c>
      <c r="G93" t="s">
        <v>77</v>
      </c>
      <c r="H93" s="1">
        <v>1</v>
      </c>
      <c r="I93" s="4">
        <v>74.2256</v>
      </c>
      <c r="J93" t="s">
        <v>96</v>
      </c>
    </row>
    <row r="94" spans="1:10" x14ac:dyDescent="0.25">
      <c r="A94" t="s">
        <v>195</v>
      </c>
      <c r="B94" s="3">
        <v>45827</v>
      </c>
      <c r="C94" t="s">
        <v>7</v>
      </c>
      <c r="D94" t="str">
        <f>_xlfn.XLOOKUP(TB_Venda[[#This Row],[Código do Produto]],TB_Produto[Código],TB_Produto[Nome do Produto])</f>
        <v>Blusa de Frio</v>
      </c>
      <c r="E94" t="str">
        <f>VLOOKUP(TB_Venda[[#This Row],[Código do Produto]],TB_Produto[],3,FALSE)</f>
        <v>Roupas Femininas</v>
      </c>
      <c r="F94" t="str" cm="1">
        <f t="array" ref="F94">_xlfn.IFS(LEFT(TB_Venda[[#This Row],[Categoria]],5)="Roupa","Roupa",LEFT(TB_Venda[[#This Row],[Categoria]],7)="Calçado","Calçado",1,"Outros")</f>
        <v>Roupa</v>
      </c>
      <c r="G94" t="s">
        <v>76</v>
      </c>
      <c r="H94" s="1">
        <v>4</v>
      </c>
      <c r="I94" s="4">
        <v>273.28620000000001</v>
      </c>
      <c r="J94" t="s">
        <v>95</v>
      </c>
    </row>
    <row r="95" spans="1:10" x14ac:dyDescent="0.25">
      <c r="A95" t="s">
        <v>196</v>
      </c>
      <c r="B95" s="3">
        <v>45767</v>
      </c>
      <c r="C95" t="s">
        <v>34</v>
      </c>
      <c r="D95" t="str">
        <f>_xlfn.XLOOKUP(TB_Venda[[#This Row],[Código do Produto]],TB_Produto[Código],TB_Produto[Nome do Produto])</f>
        <v>Vestido Estampado</v>
      </c>
      <c r="E95" t="str">
        <f>VLOOKUP(TB_Venda[[#This Row],[Código do Produto]],TB_Produto[],3,FALSE)</f>
        <v>Roupas Femininas</v>
      </c>
      <c r="F95" t="str" cm="1">
        <f t="array" ref="F95">_xlfn.IFS(LEFT(TB_Venda[[#This Row],[Categoria]],5)="Roupa","Roupa",LEFT(TB_Venda[[#This Row],[Categoria]],7)="Calçado","Calçado",1,"Outros")</f>
        <v>Roupa</v>
      </c>
      <c r="G95" t="s">
        <v>79</v>
      </c>
      <c r="H95" s="1">
        <v>5</v>
      </c>
      <c r="I95" s="4">
        <v>300.29090000000002</v>
      </c>
      <c r="J95" t="s">
        <v>96</v>
      </c>
    </row>
    <row r="96" spans="1:10" x14ac:dyDescent="0.25">
      <c r="A96" t="s">
        <v>197</v>
      </c>
      <c r="B96" s="3">
        <v>45783</v>
      </c>
      <c r="C96" t="s">
        <v>9</v>
      </c>
      <c r="D96" t="str">
        <f>_xlfn.XLOOKUP(TB_Venda[[#This Row],[Código do Produto]],TB_Produto[Código],TB_Produto[Nome do Produto])</f>
        <v>Vestido Longo</v>
      </c>
      <c r="E96" t="str">
        <f>VLOOKUP(TB_Venda[[#This Row],[Código do Produto]],TB_Produto[],3,FALSE)</f>
        <v>Roupas Femininas</v>
      </c>
      <c r="F96" t="str" cm="1">
        <f t="array" ref="F96">_xlfn.IFS(LEFT(TB_Venda[[#This Row],[Categoria]],5)="Roupa","Roupa",LEFT(TB_Venda[[#This Row],[Categoria]],7)="Calçado","Calçado",1,"Outros")</f>
        <v>Roupa</v>
      </c>
      <c r="G96" t="s">
        <v>78</v>
      </c>
      <c r="H96" s="1">
        <v>2</v>
      </c>
      <c r="I96" s="4">
        <v>76.646000000000001</v>
      </c>
      <c r="J96" t="s">
        <v>95</v>
      </c>
    </row>
    <row r="97" spans="1:10" x14ac:dyDescent="0.25">
      <c r="A97" t="s">
        <v>198</v>
      </c>
      <c r="B97" s="3">
        <v>45716</v>
      </c>
      <c r="C97" t="s">
        <v>8</v>
      </c>
      <c r="D97" t="str">
        <f>_xlfn.XLOOKUP(TB_Venda[[#This Row],[Código do Produto]],TB_Produto[Código],TB_Produto[Nome do Produto])</f>
        <v>Sandália Casual</v>
      </c>
      <c r="E97" t="str">
        <f>VLOOKUP(TB_Venda[[#This Row],[Código do Produto]],TB_Produto[],3,FALSE)</f>
        <v>Calçados</v>
      </c>
      <c r="F97" t="str" cm="1">
        <f t="array" ref="F97">_xlfn.IFS(LEFT(TB_Venda[[#This Row],[Categoria]],5)="Roupa","Roupa",LEFT(TB_Venda[[#This Row],[Categoria]],7)="Calçado","Calçado",1,"Outros")</f>
        <v>Calçado</v>
      </c>
      <c r="G97" t="s">
        <v>72</v>
      </c>
      <c r="H97" s="1">
        <v>1</v>
      </c>
      <c r="I97" s="4">
        <v>404.09280000000001</v>
      </c>
      <c r="J97" t="s">
        <v>92</v>
      </c>
    </row>
    <row r="98" spans="1:10" x14ac:dyDescent="0.25">
      <c r="A98" t="s">
        <v>199</v>
      </c>
      <c r="B98" s="3">
        <v>45674</v>
      </c>
      <c r="C98" t="s">
        <v>16</v>
      </c>
      <c r="D98" t="str">
        <f>_xlfn.XLOOKUP(TB_Venda[[#This Row],[Código do Produto]],TB_Produto[Código],TB_Produto[Nome do Produto])</f>
        <v>Shorts Jeans</v>
      </c>
      <c r="E98" t="str">
        <f>VLOOKUP(TB_Venda[[#This Row],[Código do Produto]],TB_Produto[],3,FALSE)</f>
        <v>Roupas Femininas</v>
      </c>
      <c r="F98" t="str" cm="1">
        <f t="array" ref="F98">_xlfn.IFS(LEFT(TB_Venda[[#This Row],[Categoria]],5)="Roupa","Roupa",LEFT(TB_Venda[[#This Row],[Categoria]],7)="Calçado","Calçado",1,"Outros")</f>
        <v>Roupa</v>
      </c>
      <c r="G98" t="s">
        <v>72</v>
      </c>
      <c r="H98" s="1">
        <v>3</v>
      </c>
      <c r="I98" s="4">
        <v>211.91649999999998</v>
      </c>
      <c r="J98" t="s">
        <v>92</v>
      </c>
    </row>
    <row r="99" spans="1:10" x14ac:dyDescent="0.25">
      <c r="A99" t="s">
        <v>200</v>
      </c>
      <c r="B99" s="3">
        <v>45746</v>
      </c>
      <c r="C99" t="s">
        <v>13</v>
      </c>
      <c r="D99" t="str">
        <f>_xlfn.XLOOKUP(TB_Venda[[#This Row],[Código do Produto]],TB_Produto[Código],TB_Produto[Nome do Produto])</f>
        <v>Saia Midi</v>
      </c>
      <c r="E99" t="str">
        <f>VLOOKUP(TB_Venda[[#This Row],[Código do Produto]],TB_Produto[],3,FALSE)</f>
        <v>Roupas Femininas</v>
      </c>
      <c r="F99" t="str" cm="1">
        <f t="array" ref="F99">_xlfn.IFS(LEFT(TB_Venda[[#This Row],[Categoria]],5)="Roupa","Roupa",LEFT(TB_Venda[[#This Row],[Categoria]],7)="Calçado","Calçado",1,"Outros")</f>
        <v>Roupa</v>
      </c>
      <c r="G99" t="s">
        <v>73</v>
      </c>
      <c r="H99" s="1">
        <v>1</v>
      </c>
      <c r="I99" s="4">
        <v>195.76439999999999</v>
      </c>
      <c r="J99" t="s">
        <v>92</v>
      </c>
    </row>
    <row r="100" spans="1:10" x14ac:dyDescent="0.25">
      <c r="A100" t="s">
        <v>201</v>
      </c>
      <c r="B100" s="3">
        <v>45805</v>
      </c>
      <c r="C100" t="s">
        <v>32</v>
      </c>
      <c r="D100" t="str">
        <f>_xlfn.XLOOKUP(TB_Venda[[#This Row],[Código do Produto]],TB_Produto[Código],TB_Produto[Nome do Produto])</f>
        <v>Chinelo Slide</v>
      </c>
      <c r="E100" t="str">
        <f>VLOOKUP(TB_Venda[[#This Row],[Código do Produto]],TB_Produto[],3,FALSE)</f>
        <v>Calçados</v>
      </c>
      <c r="F100" t="str" cm="1">
        <f t="array" ref="F100">_xlfn.IFS(LEFT(TB_Venda[[#This Row],[Categoria]],5)="Roupa","Roupa",LEFT(TB_Venda[[#This Row],[Categoria]],7)="Calçado","Calçado",1,"Outros")</f>
        <v>Calçado</v>
      </c>
      <c r="G100" t="s">
        <v>78</v>
      </c>
      <c r="H100" s="1">
        <v>3</v>
      </c>
      <c r="I100" s="4">
        <v>151.3904</v>
      </c>
      <c r="J100" t="s">
        <v>95</v>
      </c>
    </row>
    <row r="101" spans="1:10" x14ac:dyDescent="0.25">
      <c r="A101" t="s">
        <v>202</v>
      </c>
      <c r="B101" s="3">
        <v>45755</v>
      </c>
      <c r="C101" t="s">
        <v>14</v>
      </c>
      <c r="D101" t="str">
        <f>_xlfn.XLOOKUP(TB_Venda[[#This Row],[Código do Produto]],TB_Produto[Código],TB_Produto[Nome do Produto])</f>
        <v>Camiseta Básica</v>
      </c>
      <c r="E101" t="str">
        <f>VLOOKUP(TB_Venda[[#This Row],[Código do Produto]],TB_Produto[],3,FALSE)</f>
        <v>Roupas Unissex</v>
      </c>
      <c r="F101" t="str" cm="1">
        <f t="array" ref="F101">_xlfn.IFS(LEFT(TB_Venda[[#This Row],[Categoria]],5)="Roupa","Roupa",LEFT(TB_Venda[[#This Row],[Categoria]],7)="Calçado","Calçado",1,"Outros")</f>
        <v>Roupa</v>
      </c>
      <c r="G101" t="s">
        <v>72</v>
      </c>
      <c r="H101" s="1">
        <v>1</v>
      </c>
      <c r="I101" s="4">
        <v>165.27959999999999</v>
      </c>
      <c r="J101" t="s">
        <v>92</v>
      </c>
    </row>
    <row r="102" spans="1:10" x14ac:dyDescent="0.25">
      <c r="A102" t="s">
        <v>203</v>
      </c>
      <c r="B102" s="3">
        <v>45676</v>
      </c>
      <c r="C102" t="s">
        <v>14</v>
      </c>
      <c r="D102" t="str">
        <f>_xlfn.XLOOKUP(TB_Venda[[#This Row],[Código do Produto]],TB_Produto[Código],TB_Produto[Nome do Produto])</f>
        <v>Camiseta Básica</v>
      </c>
      <c r="E102" t="str">
        <f>VLOOKUP(TB_Venda[[#This Row],[Código do Produto]],TB_Produto[],3,FALSE)</f>
        <v>Roupas Unissex</v>
      </c>
      <c r="F102" t="str" cm="1">
        <f t="array" ref="F102">_xlfn.IFS(LEFT(TB_Venda[[#This Row],[Categoria]],5)="Roupa","Roupa",LEFT(TB_Venda[[#This Row],[Categoria]],7)="Calçado","Calçado",1,"Outros")</f>
        <v>Roupa</v>
      </c>
      <c r="G102" t="s">
        <v>76</v>
      </c>
      <c r="H102" s="1">
        <v>4</v>
      </c>
      <c r="I102" s="4">
        <v>161.7252</v>
      </c>
      <c r="J102" t="s">
        <v>95</v>
      </c>
    </row>
    <row r="103" spans="1:10" x14ac:dyDescent="0.25">
      <c r="A103" t="s">
        <v>204</v>
      </c>
      <c r="B103" s="3">
        <v>45676</v>
      </c>
      <c r="C103" t="s">
        <v>34</v>
      </c>
      <c r="D103" t="str">
        <f>_xlfn.XLOOKUP(TB_Venda[[#This Row],[Código do Produto]],TB_Produto[Código],TB_Produto[Nome do Produto])</f>
        <v>Vestido Estampado</v>
      </c>
      <c r="E103" t="str">
        <f>VLOOKUP(TB_Venda[[#This Row],[Código do Produto]],TB_Produto[],3,FALSE)</f>
        <v>Roupas Femininas</v>
      </c>
      <c r="F103" t="str" cm="1">
        <f t="array" ref="F103">_xlfn.IFS(LEFT(TB_Venda[[#This Row],[Categoria]],5)="Roupa","Roupa",LEFT(TB_Venda[[#This Row],[Categoria]],7)="Calçado","Calçado",1,"Outros")</f>
        <v>Roupa</v>
      </c>
      <c r="G103" t="s">
        <v>76</v>
      </c>
      <c r="H103" s="1">
        <v>4</v>
      </c>
      <c r="I103" s="4">
        <v>316.79040000000003</v>
      </c>
      <c r="J103" t="s">
        <v>95</v>
      </c>
    </row>
    <row r="104" spans="1:10" x14ac:dyDescent="0.25">
      <c r="A104" t="s">
        <v>205</v>
      </c>
      <c r="B104" s="3">
        <v>45695</v>
      </c>
      <c r="C104" t="s">
        <v>29</v>
      </c>
      <c r="D104" t="str">
        <f>_xlfn.XLOOKUP(TB_Venda[[#This Row],[Código do Produto]],TB_Produto[Código],TB_Produto[Nome do Produto])</f>
        <v>Camisa de Time</v>
      </c>
      <c r="E104" t="str">
        <f>VLOOKUP(TB_Venda[[#This Row],[Código do Produto]],TB_Produto[],3,FALSE)</f>
        <v>Roupas Masculinas</v>
      </c>
      <c r="F104" t="str" cm="1">
        <f t="array" ref="F104">_xlfn.IFS(LEFT(TB_Venda[[#This Row],[Categoria]],5)="Roupa","Roupa",LEFT(TB_Venda[[#This Row],[Categoria]],7)="Calçado","Calçado",1,"Outros")</f>
        <v>Roupa</v>
      </c>
      <c r="G104" t="s">
        <v>78</v>
      </c>
      <c r="H104" s="1">
        <v>3</v>
      </c>
      <c r="I104" s="4">
        <v>209.48160000000001</v>
      </c>
      <c r="J104" t="s">
        <v>95</v>
      </c>
    </row>
    <row r="105" spans="1:10" x14ac:dyDescent="0.25">
      <c r="A105" t="s">
        <v>206</v>
      </c>
      <c r="B105" s="3">
        <v>45676</v>
      </c>
      <c r="C105" t="s">
        <v>9</v>
      </c>
      <c r="D105" t="str">
        <f>_xlfn.XLOOKUP(TB_Venda[[#This Row],[Código do Produto]],TB_Produto[Código],TB_Produto[Nome do Produto])</f>
        <v>Vestido Longo</v>
      </c>
      <c r="E105" t="str">
        <f>VLOOKUP(TB_Venda[[#This Row],[Código do Produto]],TB_Produto[],3,FALSE)</f>
        <v>Roupas Femininas</v>
      </c>
      <c r="F105" t="str" cm="1">
        <f t="array" ref="F105">_xlfn.IFS(LEFT(TB_Venda[[#This Row],[Categoria]],5)="Roupa","Roupa",LEFT(TB_Venda[[#This Row],[Categoria]],7)="Calçado","Calçado",1,"Outros")</f>
        <v>Roupa</v>
      </c>
      <c r="G105" t="s">
        <v>78</v>
      </c>
      <c r="H105" s="1">
        <v>1</v>
      </c>
      <c r="I105" s="4">
        <v>76.646000000000001</v>
      </c>
      <c r="J105" t="s">
        <v>95</v>
      </c>
    </row>
    <row r="106" spans="1:10" x14ac:dyDescent="0.25">
      <c r="A106" t="s">
        <v>207</v>
      </c>
      <c r="B106" s="3">
        <v>45729</v>
      </c>
      <c r="C106" t="s">
        <v>29</v>
      </c>
      <c r="D106" t="str">
        <f>_xlfn.XLOOKUP(TB_Venda[[#This Row],[Código do Produto]],TB_Produto[Código],TB_Produto[Nome do Produto])</f>
        <v>Camisa de Time</v>
      </c>
      <c r="E106" t="str">
        <f>VLOOKUP(TB_Venda[[#This Row],[Código do Produto]],TB_Produto[],3,FALSE)</f>
        <v>Roupas Masculinas</v>
      </c>
      <c r="F106" t="str" cm="1">
        <f t="array" ref="F106">_xlfn.IFS(LEFT(TB_Venda[[#This Row],[Categoria]],5)="Roupa","Roupa",LEFT(TB_Venda[[#This Row],[Categoria]],7)="Calçado","Calçado",1,"Outros")</f>
        <v>Roupa</v>
      </c>
      <c r="G106" t="s">
        <v>77</v>
      </c>
      <c r="H106" s="1">
        <v>1</v>
      </c>
      <c r="I106" s="4">
        <v>213.8458</v>
      </c>
      <c r="J106" t="s">
        <v>96</v>
      </c>
    </row>
    <row r="107" spans="1:10" x14ac:dyDescent="0.25">
      <c r="A107" t="s">
        <v>208</v>
      </c>
      <c r="B107" s="3">
        <v>45679</v>
      </c>
      <c r="C107" t="s">
        <v>23</v>
      </c>
      <c r="D107" t="str">
        <f>_xlfn.XLOOKUP(TB_Venda[[#This Row],[Código do Produto]],TB_Produto[Código],TB_Produto[Nome do Produto])</f>
        <v>Moletom Unissex</v>
      </c>
      <c r="E107" t="str">
        <f>VLOOKUP(TB_Venda[[#This Row],[Código do Produto]],TB_Produto[],3,FALSE)</f>
        <v>Roupas Unissex</v>
      </c>
      <c r="F107" t="str" cm="1">
        <f t="array" ref="F107">_xlfn.IFS(LEFT(TB_Venda[[#This Row],[Categoria]],5)="Roupa","Roupa",LEFT(TB_Venda[[#This Row],[Categoria]],7)="Calçado","Calçado",1,"Outros")</f>
        <v>Roupa</v>
      </c>
      <c r="G107" t="s">
        <v>79</v>
      </c>
      <c r="H107" s="1">
        <v>5</v>
      </c>
      <c r="I107" s="4">
        <v>206.82900000000001</v>
      </c>
      <c r="J107" t="s">
        <v>96</v>
      </c>
    </row>
    <row r="108" spans="1:10" x14ac:dyDescent="0.25">
      <c r="A108" t="s">
        <v>209</v>
      </c>
      <c r="B108" s="3">
        <v>45661</v>
      </c>
      <c r="C108" t="s">
        <v>5</v>
      </c>
      <c r="D108" t="str">
        <f>_xlfn.XLOOKUP(TB_Venda[[#This Row],[Código do Produto]],TB_Produto[Código],TB_Produto[Nome do Produto])</f>
        <v>Tênis Esportivo</v>
      </c>
      <c r="E108" t="str">
        <f>VLOOKUP(TB_Venda[[#This Row],[Código do Produto]],TB_Produto[],3,FALSE)</f>
        <v>Calçados</v>
      </c>
      <c r="F108" t="str" cm="1">
        <f t="array" ref="F108">_xlfn.IFS(LEFT(TB_Venda[[#This Row],[Categoria]],5)="Roupa","Roupa",LEFT(TB_Venda[[#This Row],[Categoria]],7)="Calçado","Calçado",1,"Outros")</f>
        <v>Calçado</v>
      </c>
      <c r="G108" t="s">
        <v>79</v>
      </c>
      <c r="H108" s="1">
        <v>1</v>
      </c>
      <c r="I108" s="4">
        <v>429.64140000000003</v>
      </c>
      <c r="J108" t="s">
        <v>96</v>
      </c>
    </row>
    <row r="109" spans="1:10" x14ac:dyDescent="0.25">
      <c r="A109" t="s">
        <v>210</v>
      </c>
      <c r="B109" s="3">
        <v>45835</v>
      </c>
      <c r="C109" t="s">
        <v>31</v>
      </c>
      <c r="D109" t="str">
        <f>_xlfn.XLOOKUP(TB_Venda[[#This Row],[Código do Produto]],TB_Produto[Código],TB_Produto[Nome do Produto])</f>
        <v>Sapato Social</v>
      </c>
      <c r="E109" t="str">
        <f>VLOOKUP(TB_Venda[[#This Row],[Código do Produto]],TB_Produto[],3,FALSE)</f>
        <v>Calçados</v>
      </c>
      <c r="F109" t="str" cm="1">
        <f t="array" ref="F109">_xlfn.IFS(LEFT(TB_Venda[[#This Row],[Categoria]],5)="Roupa","Roupa",LEFT(TB_Venda[[#This Row],[Categoria]],7)="Calçado","Calçado",1,"Outros")</f>
        <v>Calçado</v>
      </c>
      <c r="G109" t="s">
        <v>77</v>
      </c>
      <c r="H109" s="1">
        <v>1</v>
      </c>
      <c r="I109" s="4">
        <v>256.887</v>
      </c>
      <c r="J109" t="s">
        <v>96</v>
      </c>
    </row>
    <row r="110" spans="1:10" x14ac:dyDescent="0.25">
      <c r="A110" t="s">
        <v>211</v>
      </c>
      <c r="B110" s="3">
        <v>45746</v>
      </c>
      <c r="C110" t="s">
        <v>18</v>
      </c>
      <c r="D110" t="str">
        <f>_xlfn.XLOOKUP(TB_Venda[[#This Row],[Código do Produto]],TB_Produto[Código],TB_Produto[Nome do Produto])</f>
        <v>Camisa Social</v>
      </c>
      <c r="E110" t="str">
        <f>VLOOKUP(TB_Venda[[#This Row],[Código do Produto]],TB_Produto[],3,FALSE)</f>
        <v>Roupas Masculinas</v>
      </c>
      <c r="F110" t="str" cm="1">
        <f t="array" ref="F110">_xlfn.IFS(LEFT(TB_Venda[[#This Row],[Categoria]],5)="Roupa","Roupa",LEFT(TB_Venda[[#This Row],[Categoria]],7)="Calçado","Calçado",1,"Outros")</f>
        <v>Roupa</v>
      </c>
      <c r="G110" t="s">
        <v>81</v>
      </c>
      <c r="H110" s="1">
        <v>4</v>
      </c>
      <c r="I110" s="4">
        <v>382.536</v>
      </c>
      <c r="J110" t="s">
        <v>96</v>
      </c>
    </row>
    <row r="111" spans="1:10" x14ac:dyDescent="0.25">
      <c r="A111" t="s">
        <v>212</v>
      </c>
      <c r="B111" s="3">
        <v>45746</v>
      </c>
      <c r="C111" t="s">
        <v>25</v>
      </c>
      <c r="D111" t="str">
        <f>_xlfn.XLOOKUP(TB_Venda[[#This Row],[Código do Produto]],TB_Produto[Código],TB_Produto[Nome do Produto])</f>
        <v>Jaqueta Corta-Vento</v>
      </c>
      <c r="E111" t="str">
        <f>VLOOKUP(TB_Venda[[#This Row],[Código do Produto]],TB_Produto[],3,FALSE)</f>
        <v>Roupas Unissex</v>
      </c>
      <c r="F111" t="str" cm="1">
        <f t="array" ref="F111">_xlfn.IFS(LEFT(TB_Venda[[#This Row],[Categoria]],5)="Roupa","Roupa",LEFT(TB_Venda[[#This Row],[Categoria]],7)="Calçado","Calçado",1,"Outros")</f>
        <v>Roupa</v>
      </c>
      <c r="G111" t="s">
        <v>78</v>
      </c>
      <c r="H111" s="1">
        <v>5</v>
      </c>
      <c r="I111" s="4">
        <v>150.9888</v>
      </c>
      <c r="J111" t="s">
        <v>95</v>
      </c>
    </row>
    <row r="112" spans="1:10" x14ac:dyDescent="0.25">
      <c r="A112" t="s">
        <v>213</v>
      </c>
      <c r="B112" s="3">
        <v>45826</v>
      </c>
      <c r="C112" t="s">
        <v>29</v>
      </c>
      <c r="D112" t="str">
        <f>_xlfn.XLOOKUP(TB_Venda[[#This Row],[Código do Produto]],TB_Produto[Código],TB_Produto[Nome do Produto])</f>
        <v>Camisa de Time</v>
      </c>
      <c r="E112" t="str">
        <f>VLOOKUP(TB_Venda[[#This Row],[Código do Produto]],TB_Produto[],3,FALSE)</f>
        <v>Roupas Masculinas</v>
      </c>
      <c r="F112" t="str" cm="1">
        <f t="array" ref="F112">_xlfn.IFS(LEFT(TB_Venda[[#This Row],[Categoria]],5)="Roupa","Roupa",LEFT(TB_Venda[[#This Row],[Categoria]],7)="Calçado","Calçado",1,"Outros")</f>
        <v>Roupa</v>
      </c>
      <c r="G112" t="s">
        <v>76</v>
      </c>
      <c r="H112" s="1">
        <v>3</v>
      </c>
      <c r="I112" s="4">
        <v>211.66370000000001</v>
      </c>
      <c r="J112" t="s">
        <v>95</v>
      </c>
    </row>
    <row r="113" spans="1:10" x14ac:dyDescent="0.25">
      <c r="A113" t="s">
        <v>214</v>
      </c>
      <c r="B113" s="3">
        <v>45669</v>
      </c>
      <c r="C113" t="s">
        <v>15</v>
      </c>
      <c r="D113" t="str">
        <f>_xlfn.XLOOKUP(TB_Venda[[#This Row],[Código do Produto]],TB_Produto[Código],TB_Produto[Nome do Produto])</f>
        <v>Bota Feminina</v>
      </c>
      <c r="E113" t="str">
        <f>VLOOKUP(TB_Venda[[#This Row],[Código do Produto]],TB_Produto[],3,FALSE)</f>
        <v>Calçados</v>
      </c>
      <c r="F113" t="str" cm="1">
        <f t="array" ref="F113">_xlfn.IFS(LEFT(TB_Venda[[#This Row],[Categoria]],5)="Roupa","Roupa",LEFT(TB_Venda[[#This Row],[Categoria]],7)="Calçado","Calçado",1,"Outros")</f>
        <v>Calçado</v>
      </c>
      <c r="G113" t="s">
        <v>75</v>
      </c>
      <c r="H113" s="1">
        <v>4</v>
      </c>
      <c r="I113" s="4">
        <v>444.78</v>
      </c>
      <c r="J113" t="s">
        <v>94</v>
      </c>
    </row>
    <row r="114" spans="1:10" x14ac:dyDescent="0.25">
      <c r="A114" t="s">
        <v>215</v>
      </c>
      <c r="B114" s="3">
        <v>45700</v>
      </c>
      <c r="C114" t="s">
        <v>27</v>
      </c>
      <c r="D114" t="str">
        <f>_xlfn.XLOOKUP(TB_Venda[[#This Row],[Código do Produto]],TB_Produto[Código],TB_Produto[Nome do Produto])</f>
        <v>Top Fitness</v>
      </c>
      <c r="E114" t="str">
        <f>VLOOKUP(TB_Venda[[#This Row],[Código do Produto]],TB_Produto[],3,FALSE)</f>
        <v>Roupas Femininas</v>
      </c>
      <c r="F114" t="str" cm="1">
        <f t="array" ref="F114">_xlfn.IFS(LEFT(TB_Venda[[#This Row],[Categoria]],5)="Roupa","Roupa",LEFT(TB_Venda[[#This Row],[Categoria]],7)="Calçado","Calçado",1,"Outros")</f>
        <v>Roupa</v>
      </c>
      <c r="G114" t="s">
        <v>75</v>
      </c>
      <c r="H114" s="1">
        <v>1</v>
      </c>
      <c r="I114" s="4">
        <v>84.278700000000001</v>
      </c>
      <c r="J114" t="s">
        <v>94</v>
      </c>
    </row>
    <row r="115" spans="1:10" x14ac:dyDescent="0.25">
      <c r="A115" t="s">
        <v>216</v>
      </c>
      <c r="B115" s="3">
        <v>45770</v>
      </c>
      <c r="C115" t="s">
        <v>14</v>
      </c>
      <c r="D115" t="str">
        <f>_xlfn.XLOOKUP(TB_Venda[[#This Row],[Código do Produto]],TB_Produto[Código],TB_Produto[Nome do Produto])</f>
        <v>Camiseta Básica</v>
      </c>
      <c r="E115" t="str">
        <f>VLOOKUP(TB_Venda[[#This Row],[Código do Produto]],TB_Produto[],3,FALSE)</f>
        <v>Roupas Unissex</v>
      </c>
      <c r="F115" t="str" cm="1">
        <f t="array" ref="F115">_xlfn.IFS(LEFT(TB_Venda[[#This Row],[Categoria]],5)="Roupa","Roupa",LEFT(TB_Venda[[#This Row],[Categoria]],7)="Calçado","Calçado",1,"Outros")</f>
        <v>Roupa</v>
      </c>
      <c r="G115" t="s">
        <v>79</v>
      </c>
      <c r="H115" s="1">
        <v>2</v>
      </c>
      <c r="I115" s="4">
        <v>172.38839999999999</v>
      </c>
      <c r="J115" t="s">
        <v>96</v>
      </c>
    </row>
    <row r="116" spans="1:10" x14ac:dyDescent="0.25">
      <c r="A116" t="s">
        <v>217</v>
      </c>
      <c r="B116" s="3">
        <v>45817</v>
      </c>
      <c r="C116" t="s">
        <v>23</v>
      </c>
      <c r="D116" t="str">
        <f>_xlfn.XLOOKUP(TB_Venda[[#This Row],[Código do Produto]],TB_Produto[Código],TB_Produto[Nome do Produto])</f>
        <v>Moletom Unissex</v>
      </c>
      <c r="E116" t="str">
        <f>VLOOKUP(TB_Venda[[#This Row],[Código do Produto]],TB_Produto[],3,FALSE)</f>
        <v>Roupas Unissex</v>
      </c>
      <c r="F116" t="str" cm="1">
        <f t="array" ref="F116">_xlfn.IFS(LEFT(TB_Venda[[#This Row],[Categoria]],5)="Roupa","Roupa",LEFT(TB_Venda[[#This Row],[Categoria]],7)="Calçado","Calçado",1,"Outros")</f>
        <v>Roupa</v>
      </c>
      <c r="G116" t="s">
        <v>79</v>
      </c>
      <c r="H116" s="1">
        <v>1</v>
      </c>
      <c r="I116" s="4">
        <v>200.4975</v>
      </c>
      <c r="J116" t="s">
        <v>96</v>
      </c>
    </row>
    <row r="117" spans="1:10" x14ac:dyDescent="0.25">
      <c r="A117" t="s">
        <v>218</v>
      </c>
      <c r="B117" s="3">
        <v>45825</v>
      </c>
      <c r="C117" t="s">
        <v>26</v>
      </c>
      <c r="D117" t="str">
        <f>_xlfn.XLOOKUP(TB_Venda[[#This Row],[Código do Produto]],TB_Produto[Código],TB_Produto[Nome do Produto])</f>
        <v>Sandália Rasteira</v>
      </c>
      <c r="E117" t="str">
        <f>VLOOKUP(TB_Venda[[#This Row],[Código do Produto]],TB_Produto[],3,FALSE)</f>
        <v>Calçados</v>
      </c>
      <c r="F117" t="str" cm="1">
        <f t="array" ref="F117">_xlfn.IFS(LEFT(TB_Venda[[#This Row],[Categoria]],5)="Roupa","Roupa",LEFT(TB_Venda[[#This Row],[Categoria]],7)="Calçado","Calçado",1,"Outros")</f>
        <v>Calçado</v>
      </c>
      <c r="G117" t="s">
        <v>74</v>
      </c>
      <c r="H117" s="1">
        <v>2</v>
      </c>
      <c r="I117" s="4">
        <v>394.46959999999996</v>
      </c>
      <c r="J117" t="s">
        <v>93</v>
      </c>
    </row>
    <row r="118" spans="1:10" x14ac:dyDescent="0.25">
      <c r="A118" t="s">
        <v>219</v>
      </c>
      <c r="B118" s="3">
        <v>45720</v>
      </c>
      <c r="C118" t="s">
        <v>6</v>
      </c>
      <c r="D118" t="str">
        <f>_xlfn.XLOOKUP(TB_Venda[[#This Row],[Código do Produto]],TB_Produto[Código],TB_Produto[Nome do Produto])</f>
        <v>Camisa Polo</v>
      </c>
      <c r="E118" t="str">
        <f>VLOOKUP(TB_Venda[[#This Row],[Código do Produto]],TB_Produto[],3,FALSE)</f>
        <v>Camisaria</v>
      </c>
      <c r="F118" t="str" cm="1">
        <f t="array" ref="F118">_xlfn.IFS(LEFT(TB_Venda[[#This Row],[Categoria]],5)="Roupa","Roupa",LEFT(TB_Venda[[#This Row],[Categoria]],7)="Calçado","Calçado",1,"Outros")</f>
        <v>Outros</v>
      </c>
      <c r="G118" t="s">
        <v>73</v>
      </c>
      <c r="H118" s="1">
        <v>2</v>
      </c>
      <c r="I118" s="4">
        <v>257.279</v>
      </c>
      <c r="J118" t="s">
        <v>92</v>
      </c>
    </row>
    <row r="119" spans="1:10" x14ac:dyDescent="0.25">
      <c r="A119" t="s">
        <v>220</v>
      </c>
      <c r="B119" s="3">
        <v>45740</v>
      </c>
      <c r="C119" t="s">
        <v>7</v>
      </c>
      <c r="D119" t="str">
        <f>_xlfn.XLOOKUP(TB_Venda[[#This Row],[Código do Produto]],TB_Produto[Código],TB_Produto[Nome do Produto])</f>
        <v>Blusa de Frio</v>
      </c>
      <c r="E119" t="str">
        <f>VLOOKUP(TB_Venda[[#This Row],[Código do Produto]],TB_Produto[],3,FALSE)</f>
        <v>Roupas Femininas</v>
      </c>
      <c r="F119" t="str" cm="1">
        <f t="array" ref="F119">_xlfn.IFS(LEFT(TB_Venda[[#This Row],[Categoria]],5)="Roupa","Roupa",LEFT(TB_Venda[[#This Row],[Categoria]],7)="Calçado","Calçado",1,"Outros")</f>
        <v>Roupa</v>
      </c>
      <c r="G119" t="s">
        <v>72</v>
      </c>
      <c r="H119" s="1">
        <v>5</v>
      </c>
      <c r="I119" s="4">
        <v>284.91540000000003</v>
      </c>
      <c r="J119" t="s">
        <v>92</v>
      </c>
    </row>
    <row r="120" spans="1:10" x14ac:dyDescent="0.25">
      <c r="A120" t="s">
        <v>221</v>
      </c>
      <c r="B120" s="3">
        <v>45798</v>
      </c>
      <c r="C120" t="s">
        <v>31</v>
      </c>
      <c r="D120" t="str">
        <f>_xlfn.XLOOKUP(TB_Venda[[#This Row],[Código do Produto]],TB_Produto[Código],TB_Produto[Nome do Produto])</f>
        <v>Sapato Social</v>
      </c>
      <c r="E120" t="str">
        <f>VLOOKUP(TB_Venda[[#This Row],[Código do Produto]],TB_Produto[],3,FALSE)</f>
        <v>Calçados</v>
      </c>
      <c r="F120" t="str" cm="1">
        <f t="array" ref="F120">_xlfn.IFS(LEFT(TB_Venda[[#This Row],[Categoria]],5)="Roupa","Roupa",LEFT(TB_Venda[[#This Row],[Categoria]],7)="Calçado","Calçado",1,"Outros")</f>
        <v>Calçado</v>
      </c>
      <c r="G120" t="s">
        <v>77</v>
      </c>
      <c r="H120" s="1">
        <v>2</v>
      </c>
      <c r="I120" s="4">
        <v>276.86709999999999</v>
      </c>
      <c r="J120" t="s">
        <v>96</v>
      </c>
    </row>
    <row r="121" spans="1:10" x14ac:dyDescent="0.25">
      <c r="A121" t="s">
        <v>222</v>
      </c>
      <c r="B121" s="3">
        <v>45675</v>
      </c>
      <c r="C121" t="s">
        <v>26</v>
      </c>
      <c r="D121" t="str">
        <f>_xlfn.XLOOKUP(TB_Venda[[#This Row],[Código do Produto]],TB_Produto[Código],TB_Produto[Nome do Produto])</f>
        <v>Sandália Rasteira</v>
      </c>
      <c r="E121" t="str">
        <f>VLOOKUP(TB_Venda[[#This Row],[Código do Produto]],TB_Produto[],3,FALSE)</f>
        <v>Calçados</v>
      </c>
      <c r="F121" t="str" cm="1">
        <f t="array" ref="F121">_xlfn.IFS(LEFT(TB_Venda[[#This Row],[Categoria]],5)="Roupa","Roupa",LEFT(TB_Venda[[#This Row],[Categoria]],7)="Calçado","Calçado",1,"Outros")</f>
        <v>Calçado</v>
      </c>
      <c r="G121" t="s">
        <v>81</v>
      </c>
      <c r="H121" s="1">
        <v>3</v>
      </c>
      <c r="I121" s="4">
        <v>390.44439999999997</v>
      </c>
      <c r="J121" t="s">
        <v>96</v>
      </c>
    </row>
    <row r="122" spans="1:10" x14ac:dyDescent="0.25">
      <c r="A122" t="s">
        <v>223</v>
      </c>
      <c r="B122" s="3">
        <v>45729</v>
      </c>
      <c r="C122" t="s">
        <v>11</v>
      </c>
      <c r="D122" t="str">
        <f>_xlfn.XLOOKUP(TB_Venda[[#This Row],[Código do Produto]],TB_Produto[Código],TB_Produto[Nome do Produto])</f>
        <v>Sapatênis</v>
      </c>
      <c r="E122" t="str">
        <f>VLOOKUP(TB_Venda[[#This Row],[Código do Produto]],TB_Produto[],3,FALSE)</f>
        <v>Calçados</v>
      </c>
      <c r="F122" t="str" cm="1">
        <f t="array" ref="F122">_xlfn.IFS(LEFT(TB_Venda[[#This Row],[Categoria]],5)="Roupa","Roupa",LEFT(TB_Venda[[#This Row],[Categoria]],7)="Calçado","Calçado",1,"Outros")</f>
        <v>Calçado</v>
      </c>
      <c r="G122" t="s">
        <v>73</v>
      </c>
      <c r="H122" s="1">
        <v>4</v>
      </c>
      <c r="I122" s="4">
        <v>131.10720000000001</v>
      </c>
      <c r="J122" t="s">
        <v>92</v>
      </c>
    </row>
    <row r="123" spans="1:10" x14ac:dyDescent="0.25">
      <c r="A123" t="s">
        <v>224</v>
      </c>
      <c r="B123" s="3">
        <v>45801</v>
      </c>
      <c r="C123" t="s">
        <v>5</v>
      </c>
      <c r="D123" t="str">
        <f>_xlfn.XLOOKUP(TB_Venda[[#This Row],[Código do Produto]],TB_Produto[Código],TB_Produto[Nome do Produto])</f>
        <v>Tênis Esportivo</v>
      </c>
      <c r="E123" t="str">
        <f>VLOOKUP(TB_Venda[[#This Row],[Código do Produto]],TB_Produto[],3,FALSE)</f>
        <v>Calçados</v>
      </c>
      <c r="F123" t="str" cm="1">
        <f t="array" ref="F123">_xlfn.IFS(LEFT(TB_Venda[[#This Row],[Categoria]],5)="Roupa","Roupa",LEFT(TB_Venda[[#This Row],[Categoria]],7)="Calçado","Calçado",1,"Outros")</f>
        <v>Calçado</v>
      </c>
      <c r="G123" t="s">
        <v>77</v>
      </c>
      <c r="H123" s="1">
        <v>4</v>
      </c>
      <c r="I123" s="4">
        <v>434.26120000000003</v>
      </c>
      <c r="J123" t="s">
        <v>96</v>
      </c>
    </row>
    <row r="124" spans="1:10" x14ac:dyDescent="0.25">
      <c r="A124" t="s">
        <v>225</v>
      </c>
      <c r="B124" s="3">
        <v>45703</v>
      </c>
      <c r="C124" t="s">
        <v>28</v>
      </c>
      <c r="D124" t="str">
        <f>_xlfn.XLOOKUP(TB_Venda[[#This Row],[Código do Produto]],TB_Produto[Código],TB_Produto[Nome do Produto])</f>
        <v>Legging Esportiva</v>
      </c>
      <c r="E124" t="str">
        <f>VLOOKUP(TB_Venda[[#This Row],[Código do Produto]],TB_Produto[],3,FALSE)</f>
        <v>Roupas Femininas</v>
      </c>
      <c r="F124" t="str" cm="1">
        <f t="array" ref="F124">_xlfn.IFS(LEFT(TB_Venda[[#This Row],[Categoria]],5)="Roupa","Roupa",LEFT(TB_Venda[[#This Row],[Categoria]],7)="Calçado","Calçado",1,"Outros")</f>
        <v>Roupa</v>
      </c>
      <c r="G124" t="s">
        <v>76</v>
      </c>
      <c r="H124" s="1">
        <v>4</v>
      </c>
      <c r="I124" s="4">
        <v>354.71929999999998</v>
      </c>
      <c r="J124" t="s">
        <v>95</v>
      </c>
    </row>
    <row r="125" spans="1:10" x14ac:dyDescent="0.25">
      <c r="A125" t="s">
        <v>226</v>
      </c>
      <c r="B125" s="3">
        <v>45756</v>
      </c>
      <c r="C125" t="s">
        <v>27</v>
      </c>
      <c r="D125" t="str">
        <f>_xlfn.XLOOKUP(TB_Venda[[#This Row],[Código do Produto]],TB_Produto[Código],TB_Produto[Nome do Produto])</f>
        <v>Top Fitness</v>
      </c>
      <c r="E125" t="str">
        <f>VLOOKUP(TB_Venda[[#This Row],[Código do Produto]],TB_Produto[],3,FALSE)</f>
        <v>Roupas Femininas</v>
      </c>
      <c r="F125" t="str" cm="1">
        <f t="array" ref="F125">_xlfn.IFS(LEFT(TB_Venda[[#This Row],[Categoria]],5)="Roupa","Roupa",LEFT(TB_Venda[[#This Row],[Categoria]],7)="Calçado","Calçado",1,"Outros")</f>
        <v>Roupa</v>
      </c>
      <c r="G125" t="s">
        <v>72</v>
      </c>
      <c r="H125" s="1">
        <v>1</v>
      </c>
      <c r="I125" s="4">
        <v>76.61699999999999</v>
      </c>
      <c r="J125" t="s">
        <v>92</v>
      </c>
    </row>
    <row r="126" spans="1:10" x14ac:dyDescent="0.25">
      <c r="A126" t="s">
        <v>227</v>
      </c>
      <c r="B126" s="3">
        <v>45816</v>
      </c>
      <c r="C126" t="s">
        <v>17</v>
      </c>
      <c r="D126" t="str">
        <f>_xlfn.XLOOKUP(TB_Venda[[#This Row],[Código do Produto]],TB_Produto[Código],TB_Produto[Nome do Produto])</f>
        <v>Tênis Casual</v>
      </c>
      <c r="E126" t="str">
        <f>VLOOKUP(TB_Venda[[#This Row],[Código do Produto]],TB_Produto[],3,FALSE)</f>
        <v>Calçados</v>
      </c>
      <c r="F126" t="str" cm="1">
        <f t="array" ref="F126">_xlfn.IFS(LEFT(TB_Venda[[#This Row],[Categoria]],5)="Roupa","Roupa",LEFT(TB_Venda[[#This Row],[Categoria]],7)="Calçado","Calçado",1,"Outros")</f>
        <v>Calçado</v>
      </c>
      <c r="G126" t="s">
        <v>78</v>
      </c>
      <c r="H126" s="1">
        <v>2</v>
      </c>
      <c r="I126" s="4">
        <v>230.34039999999999</v>
      </c>
      <c r="J126" t="s">
        <v>95</v>
      </c>
    </row>
    <row r="127" spans="1:10" x14ac:dyDescent="0.25">
      <c r="A127" t="s">
        <v>228</v>
      </c>
      <c r="B127" s="3">
        <v>45779</v>
      </c>
      <c r="C127" t="s">
        <v>30</v>
      </c>
      <c r="D127" t="str">
        <f>_xlfn.XLOOKUP(TB_Venda[[#This Row],[Código do Produto]],TB_Produto[Código],TB_Produto[Nome do Produto])</f>
        <v>Tênis Corrida</v>
      </c>
      <c r="E127" t="str">
        <f>VLOOKUP(TB_Venda[[#This Row],[Código do Produto]],TB_Produto[],3,FALSE)</f>
        <v>Calçados</v>
      </c>
      <c r="F127" t="str" cm="1">
        <f t="array" ref="F127">_xlfn.IFS(LEFT(TB_Venda[[#This Row],[Categoria]],5)="Roupa","Roupa",LEFT(TB_Venda[[#This Row],[Categoria]],7)="Calçado","Calçado",1,"Outros")</f>
        <v>Calçado</v>
      </c>
      <c r="G127" t="s">
        <v>76</v>
      </c>
      <c r="H127" s="1">
        <v>4</v>
      </c>
      <c r="I127" s="4">
        <v>144.774</v>
      </c>
      <c r="J127" t="s">
        <v>95</v>
      </c>
    </row>
    <row r="128" spans="1:10" x14ac:dyDescent="0.25">
      <c r="A128" t="s">
        <v>229</v>
      </c>
      <c r="B128" s="3">
        <v>45755</v>
      </c>
      <c r="C128" t="s">
        <v>5</v>
      </c>
      <c r="D128" t="str">
        <f>_xlfn.XLOOKUP(TB_Venda[[#This Row],[Código do Produto]],TB_Produto[Código],TB_Produto[Nome do Produto])</f>
        <v>Tênis Esportivo</v>
      </c>
      <c r="E128" t="str">
        <f>VLOOKUP(TB_Venda[[#This Row],[Código do Produto]],TB_Produto[],3,FALSE)</f>
        <v>Calçados</v>
      </c>
      <c r="F128" t="str" cm="1">
        <f t="array" ref="F128">_xlfn.IFS(LEFT(TB_Venda[[#This Row],[Categoria]],5)="Roupa","Roupa",LEFT(TB_Venda[[#This Row],[Categoria]],7)="Calçado","Calçado",1,"Outros")</f>
        <v>Calçado</v>
      </c>
      <c r="G128" t="s">
        <v>75</v>
      </c>
      <c r="H128" s="1">
        <v>3</v>
      </c>
      <c r="I128" s="4">
        <v>457.36020000000002</v>
      </c>
      <c r="J128" t="s">
        <v>94</v>
      </c>
    </row>
    <row r="129" spans="1:10" x14ac:dyDescent="0.25">
      <c r="A129" t="s">
        <v>230</v>
      </c>
      <c r="B129" s="3">
        <v>45725</v>
      </c>
      <c r="C129" t="s">
        <v>30</v>
      </c>
      <c r="D129" t="str">
        <f>_xlfn.XLOOKUP(TB_Venda[[#This Row],[Código do Produto]],TB_Produto[Código],TB_Produto[Nome do Produto])</f>
        <v>Tênis Corrida</v>
      </c>
      <c r="E129" t="str">
        <f>VLOOKUP(TB_Venda[[#This Row],[Código do Produto]],TB_Produto[],3,FALSE)</f>
        <v>Calçados</v>
      </c>
      <c r="F129" t="str" cm="1">
        <f t="array" ref="F129">_xlfn.IFS(LEFT(TB_Venda[[#This Row],[Categoria]],5)="Roupa","Roupa",LEFT(TB_Venda[[#This Row],[Categoria]],7)="Calçado","Calçado",1,"Outros")</f>
        <v>Calçado</v>
      </c>
      <c r="G129" t="s">
        <v>72</v>
      </c>
      <c r="H129" s="1">
        <v>5</v>
      </c>
      <c r="I129" s="4">
        <v>159.25140000000002</v>
      </c>
      <c r="J129" t="s">
        <v>92</v>
      </c>
    </row>
    <row r="130" spans="1:10" x14ac:dyDescent="0.25">
      <c r="A130" t="s">
        <v>231</v>
      </c>
      <c r="B130" s="3">
        <v>45698</v>
      </c>
      <c r="C130" t="s">
        <v>18</v>
      </c>
      <c r="D130" t="str">
        <f>_xlfn.XLOOKUP(TB_Venda[[#This Row],[Código do Produto]],TB_Produto[Código],TB_Produto[Nome do Produto])</f>
        <v>Camisa Social</v>
      </c>
      <c r="E130" t="str">
        <f>VLOOKUP(TB_Venda[[#This Row],[Código do Produto]],TB_Produto[],3,FALSE)</f>
        <v>Roupas Masculinas</v>
      </c>
      <c r="F130" t="str" cm="1">
        <f t="array" ref="F130">_xlfn.IFS(LEFT(TB_Venda[[#This Row],[Categoria]],5)="Roupa","Roupa",LEFT(TB_Venda[[#This Row],[Categoria]],7)="Calçado","Calçado",1,"Outros")</f>
        <v>Roupa</v>
      </c>
      <c r="G130" t="s">
        <v>76</v>
      </c>
      <c r="H130" s="1">
        <v>3</v>
      </c>
      <c r="I130" s="4">
        <v>412.28880000000004</v>
      </c>
      <c r="J130" t="s">
        <v>95</v>
      </c>
    </row>
    <row r="131" spans="1:10" x14ac:dyDescent="0.25">
      <c r="A131" t="s">
        <v>232</v>
      </c>
      <c r="B131" s="3">
        <v>45723</v>
      </c>
      <c r="C131" t="s">
        <v>19</v>
      </c>
      <c r="D131" t="str">
        <f>_xlfn.XLOOKUP(TB_Venda[[#This Row],[Código do Produto]],TB_Produto[Código],TB_Produto[Nome do Produto])</f>
        <v>Macacão</v>
      </c>
      <c r="E131" t="str">
        <f>VLOOKUP(TB_Venda[[#This Row],[Código do Produto]],TB_Produto[],3,FALSE)</f>
        <v>Roupas Femininas</v>
      </c>
      <c r="F131" t="str" cm="1">
        <f t="array" ref="F131">_xlfn.IFS(LEFT(TB_Venda[[#This Row],[Categoria]],5)="Roupa","Roupa",LEFT(TB_Venda[[#This Row],[Categoria]],7)="Calçado","Calçado",1,"Outros")</f>
        <v>Roupa</v>
      </c>
      <c r="G131" t="s">
        <v>77</v>
      </c>
      <c r="H131" s="1">
        <v>3</v>
      </c>
      <c r="I131" s="4">
        <v>143.42420000000001</v>
      </c>
      <c r="J131" t="s">
        <v>96</v>
      </c>
    </row>
    <row r="132" spans="1:10" x14ac:dyDescent="0.25">
      <c r="A132" t="s">
        <v>233</v>
      </c>
      <c r="B132" s="3">
        <v>45659</v>
      </c>
      <c r="C132" t="s">
        <v>33</v>
      </c>
      <c r="D132" t="str">
        <f>_xlfn.XLOOKUP(TB_Venda[[#This Row],[Código do Produto]],TB_Produto[Código],TB_Produto[Nome do Produto])</f>
        <v>Camisa de Linho</v>
      </c>
      <c r="E132" t="str">
        <f>VLOOKUP(TB_Venda[[#This Row],[Código do Produto]],TB_Produto[],3,FALSE)</f>
        <v>Roupas Masculinas</v>
      </c>
      <c r="F132" t="str" cm="1">
        <f t="array" ref="F132">_xlfn.IFS(LEFT(TB_Venda[[#This Row],[Categoria]],5)="Roupa","Roupa",LEFT(TB_Venda[[#This Row],[Categoria]],7)="Calçado","Calçado",1,"Outros")</f>
        <v>Roupa</v>
      </c>
      <c r="G132" t="s">
        <v>79</v>
      </c>
      <c r="H132" s="1">
        <v>5</v>
      </c>
      <c r="I132" s="4">
        <v>92.943200000000004</v>
      </c>
      <c r="J132" t="s">
        <v>96</v>
      </c>
    </row>
    <row r="133" spans="1:10" x14ac:dyDescent="0.25">
      <c r="A133" t="s">
        <v>234</v>
      </c>
      <c r="B133" s="3">
        <v>45794</v>
      </c>
      <c r="C133" t="s">
        <v>22</v>
      </c>
      <c r="D133" t="str">
        <f>_xlfn.XLOOKUP(TB_Venda[[#This Row],[Código do Produto]],TB_Produto[Código],TB_Produto[Nome do Produto])</f>
        <v>Mule Feminino</v>
      </c>
      <c r="E133" t="str">
        <f>VLOOKUP(TB_Venda[[#This Row],[Código do Produto]],TB_Produto[],3,FALSE)</f>
        <v>Calçados</v>
      </c>
      <c r="F133" t="str" cm="1">
        <f t="array" ref="F133">_xlfn.IFS(LEFT(TB_Venda[[#This Row],[Categoria]],5)="Roupa","Roupa",LEFT(TB_Venda[[#This Row],[Categoria]],7)="Calçado","Calçado",1,"Outros")</f>
        <v>Calçado</v>
      </c>
      <c r="G133" t="s">
        <v>75</v>
      </c>
      <c r="H133" s="1">
        <v>3</v>
      </c>
      <c r="I133" s="4">
        <v>78.269300000000001</v>
      </c>
      <c r="J133" t="s">
        <v>94</v>
      </c>
    </row>
    <row r="134" spans="1:10" x14ac:dyDescent="0.25">
      <c r="A134" t="s">
        <v>235</v>
      </c>
      <c r="B134" s="3">
        <v>45774</v>
      </c>
      <c r="C134" t="s">
        <v>25</v>
      </c>
      <c r="D134" t="str">
        <f>_xlfn.XLOOKUP(TB_Venda[[#This Row],[Código do Produto]],TB_Produto[Código],TB_Produto[Nome do Produto])</f>
        <v>Jaqueta Corta-Vento</v>
      </c>
      <c r="E134" t="str">
        <f>VLOOKUP(TB_Venda[[#This Row],[Código do Produto]],TB_Produto[],3,FALSE)</f>
        <v>Roupas Unissex</v>
      </c>
      <c r="F134" t="str" cm="1">
        <f t="array" ref="F134">_xlfn.IFS(LEFT(TB_Venda[[#This Row],[Categoria]],5)="Roupa","Roupa",LEFT(TB_Venda[[#This Row],[Categoria]],7)="Calçado","Calçado",1,"Outros")</f>
        <v>Roupa</v>
      </c>
      <c r="G134" t="s">
        <v>80</v>
      </c>
      <c r="H134" s="1">
        <v>2</v>
      </c>
      <c r="I134" s="4">
        <v>147.8432</v>
      </c>
      <c r="J134" t="s">
        <v>92</v>
      </c>
    </row>
    <row r="135" spans="1:10" x14ac:dyDescent="0.25">
      <c r="A135" t="s">
        <v>236</v>
      </c>
      <c r="B135" s="3">
        <v>45773</v>
      </c>
      <c r="C135" t="s">
        <v>7</v>
      </c>
      <c r="D135" t="str">
        <f>_xlfn.XLOOKUP(TB_Venda[[#This Row],[Código do Produto]],TB_Produto[Código],TB_Produto[Nome do Produto])</f>
        <v>Blusa de Frio</v>
      </c>
      <c r="E135" t="str">
        <f>VLOOKUP(TB_Venda[[#This Row],[Código do Produto]],TB_Produto[],3,FALSE)</f>
        <v>Roupas Femininas</v>
      </c>
      <c r="F135" t="str" cm="1">
        <f t="array" ref="F135">_xlfn.IFS(LEFT(TB_Venda[[#This Row],[Categoria]],5)="Roupa","Roupa",LEFT(TB_Venda[[#This Row],[Categoria]],7)="Calçado","Calçado",1,"Outros")</f>
        <v>Roupa</v>
      </c>
      <c r="G135" t="s">
        <v>81</v>
      </c>
      <c r="H135" s="1">
        <v>3</v>
      </c>
      <c r="I135" s="4">
        <v>276.19350000000003</v>
      </c>
      <c r="J135" t="s">
        <v>96</v>
      </c>
    </row>
    <row r="136" spans="1:10" x14ac:dyDescent="0.25">
      <c r="A136" t="s">
        <v>237</v>
      </c>
      <c r="B136" s="3">
        <v>45759</v>
      </c>
      <c r="C136" t="s">
        <v>17</v>
      </c>
      <c r="D136" t="str">
        <f>_xlfn.XLOOKUP(TB_Venda[[#This Row],[Código do Produto]],TB_Produto[Código],TB_Produto[Nome do Produto])</f>
        <v>Tênis Casual</v>
      </c>
      <c r="E136" t="str">
        <f>VLOOKUP(TB_Venda[[#This Row],[Código do Produto]],TB_Produto[],3,FALSE)</f>
        <v>Calçados</v>
      </c>
      <c r="F136" t="str" cm="1">
        <f t="array" ref="F136">_xlfn.IFS(LEFT(TB_Venda[[#This Row],[Categoria]],5)="Roupa","Roupa",LEFT(TB_Venda[[#This Row],[Categoria]],7)="Calçado","Calçado",1,"Outros")</f>
        <v>Calçado</v>
      </c>
      <c r="G136" t="s">
        <v>74</v>
      </c>
      <c r="H136" s="1">
        <v>1</v>
      </c>
      <c r="I136" s="4">
        <v>232.8441</v>
      </c>
      <c r="J136" t="s">
        <v>93</v>
      </c>
    </row>
    <row r="137" spans="1:10" x14ac:dyDescent="0.25">
      <c r="A137" t="s">
        <v>238</v>
      </c>
      <c r="B137" s="3">
        <v>45778</v>
      </c>
      <c r="C137" t="s">
        <v>12</v>
      </c>
      <c r="D137" t="str">
        <f>_xlfn.XLOOKUP(TB_Venda[[#This Row],[Código do Produto]],TB_Produto[Código],TB_Produto[Nome do Produto])</f>
        <v>Calça Jeans Masculina</v>
      </c>
      <c r="E137" t="str">
        <f>VLOOKUP(TB_Venda[[#This Row],[Código do Produto]],TB_Produto[],3,FALSE)</f>
        <v>Roupas Masculinas</v>
      </c>
      <c r="F137" t="str" cm="1">
        <f t="array" ref="F137">_xlfn.IFS(LEFT(TB_Venda[[#This Row],[Categoria]],5)="Roupa","Roupa",LEFT(TB_Venda[[#This Row],[Categoria]],7)="Calçado","Calçado",1,"Outros")</f>
        <v>Roupa</v>
      </c>
      <c r="G137" t="s">
        <v>75</v>
      </c>
      <c r="H137" s="1">
        <v>4</v>
      </c>
      <c r="I137" s="4">
        <v>238.44380000000001</v>
      </c>
      <c r="J137" t="s">
        <v>94</v>
      </c>
    </row>
    <row r="138" spans="1:10" x14ac:dyDescent="0.25">
      <c r="A138" t="s">
        <v>239</v>
      </c>
      <c r="B138" s="3">
        <v>45676</v>
      </c>
      <c r="C138" t="s">
        <v>10</v>
      </c>
      <c r="D138" t="str">
        <f>_xlfn.XLOOKUP(TB_Venda[[#This Row],[Código do Produto]],TB_Produto[Código],TB_Produto[Nome do Produto])</f>
        <v>Jaqueta Jeans</v>
      </c>
      <c r="E138" t="str">
        <f>VLOOKUP(TB_Venda[[#This Row],[Código do Produto]],TB_Produto[],3,FALSE)</f>
        <v>Roupas Unissex</v>
      </c>
      <c r="F138" t="str" cm="1">
        <f t="array" ref="F138">_xlfn.IFS(LEFT(TB_Venda[[#This Row],[Categoria]],5)="Roupa","Roupa",LEFT(TB_Venda[[#This Row],[Categoria]],7)="Calçado","Calçado",1,"Outros")</f>
        <v>Roupa</v>
      </c>
      <c r="G138" t="s">
        <v>79</v>
      </c>
      <c r="H138" s="1">
        <v>2</v>
      </c>
      <c r="I138" s="4">
        <v>264.56079999999997</v>
      </c>
      <c r="J138" t="s">
        <v>96</v>
      </c>
    </row>
    <row r="139" spans="1:10" x14ac:dyDescent="0.25">
      <c r="A139" t="s">
        <v>240</v>
      </c>
      <c r="B139" s="3">
        <v>45685</v>
      </c>
      <c r="C139" t="s">
        <v>7</v>
      </c>
      <c r="D139" t="str">
        <f>_xlfn.XLOOKUP(TB_Venda[[#This Row],[Código do Produto]],TB_Produto[Código],TB_Produto[Nome do Produto])</f>
        <v>Blusa de Frio</v>
      </c>
      <c r="E139" t="str">
        <f>VLOOKUP(TB_Venda[[#This Row],[Código do Produto]],TB_Produto[],3,FALSE)</f>
        <v>Roupas Femininas</v>
      </c>
      <c r="F139" t="str" cm="1">
        <f t="array" ref="F139">_xlfn.IFS(LEFT(TB_Venda[[#This Row],[Categoria]],5)="Roupa","Roupa",LEFT(TB_Venda[[#This Row],[Categoria]],7)="Calçado","Calçado",1,"Outros")</f>
        <v>Roupa</v>
      </c>
      <c r="G139" t="s">
        <v>81</v>
      </c>
      <c r="H139" s="1">
        <v>2</v>
      </c>
      <c r="I139" s="4">
        <v>264.5643</v>
      </c>
      <c r="J139" t="s">
        <v>96</v>
      </c>
    </row>
    <row r="140" spans="1:10" x14ac:dyDescent="0.25">
      <c r="A140" t="s">
        <v>241</v>
      </c>
      <c r="B140" s="3">
        <v>45674</v>
      </c>
      <c r="C140" t="s">
        <v>21</v>
      </c>
      <c r="D140" t="str">
        <f>_xlfn.XLOOKUP(TB_Venda[[#This Row],[Código do Produto]],TB_Produto[Código],TB_Produto[Nome do Produto])</f>
        <v>Blazer Feminino</v>
      </c>
      <c r="E140" t="str">
        <f>VLOOKUP(TB_Venda[[#This Row],[Código do Produto]],TB_Produto[],3,FALSE)</f>
        <v>Roupas Femininas</v>
      </c>
      <c r="F140" t="str" cm="1">
        <f t="array" ref="F140">_xlfn.IFS(LEFT(TB_Venda[[#This Row],[Categoria]],5)="Roupa","Roupa",LEFT(TB_Venda[[#This Row],[Categoria]],7)="Calçado","Calçado",1,"Outros")</f>
        <v>Roupa</v>
      </c>
      <c r="G140" t="s">
        <v>75</v>
      </c>
      <c r="H140" s="1">
        <v>2</v>
      </c>
      <c r="I140" s="4">
        <v>441.49560000000002</v>
      </c>
      <c r="J140" t="s">
        <v>94</v>
      </c>
    </row>
    <row r="141" spans="1:10" x14ac:dyDescent="0.25">
      <c r="A141" t="s">
        <v>242</v>
      </c>
      <c r="B141" s="3">
        <v>45666</v>
      </c>
      <c r="C141" t="s">
        <v>33</v>
      </c>
      <c r="D141" t="str">
        <f>_xlfn.XLOOKUP(TB_Venda[[#This Row],[Código do Produto]],TB_Produto[Código],TB_Produto[Nome do Produto])</f>
        <v>Camisa de Linho</v>
      </c>
      <c r="E141" t="str">
        <f>VLOOKUP(TB_Venda[[#This Row],[Código do Produto]],TB_Produto[],3,FALSE)</f>
        <v>Roupas Masculinas</v>
      </c>
      <c r="F141" t="str" cm="1">
        <f t="array" ref="F141">_xlfn.IFS(LEFT(TB_Venda[[#This Row],[Categoria]],5)="Roupa","Roupa",LEFT(TB_Venda[[#This Row],[Categoria]],7)="Calçado","Calçado",1,"Outros")</f>
        <v>Roupa</v>
      </c>
      <c r="G141" t="s">
        <v>73</v>
      </c>
      <c r="H141" s="1">
        <v>3</v>
      </c>
      <c r="I141" s="4">
        <v>90.097999999999999</v>
      </c>
      <c r="J141" t="s">
        <v>92</v>
      </c>
    </row>
    <row r="142" spans="1:10" x14ac:dyDescent="0.25">
      <c r="A142" t="s">
        <v>243</v>
      </c>
      <c r="B142" s="3">
        <v>45733</v>
      </c>
      <c r="C142" t="s">
        <v>33</v>
      </c>
      <c r="D142" t="str">
        <f>_xlfn.XLOOKUP(TB_Venda[[#This Row],[Código do Produto]],TB_Produto[Código],TB_Produto[Nome do Produto])</f>
        <v>Camisa de Linho</v>
      </c>
      <c r="E142" t="str">
        <f>VLOOKUP(TB_Venda[[#This Row],[Código do Produto]],TB_Produto[],3,FALSE)</f>
        <v>Roupas Masculinas</v>
      </c>
      <c r="F142" t="str" cm="1">
        <f t="array" ref="F142">_xlfn.IFS(LEFT(TB_Venda[[#This Row],[Categoria]],5)="Roupa","Roupa",LEFT(TB_Venda[[#This Row],[Categoria]],7)="Calçado","Calçado",1,"Outros")</f>
        <v>Roupa</v>
      </c>
      <c r="G142" t="s">
        <v>74</v>
      </c>
      <c r="H142" s="1">
        <v>4</v>
      </c>
      <c r="I142" s="4">
        <v>89.149600000000007</v>
      </c>
      <c r="J142" t="s">
        <v>93</v>
      </c>
    </row>
    <row r="143" spans="1:10" x14ac:dyDescent="0.25">
      <c r="A143" t="s">
        <v>244</v>
      </c>
      <c r="B143" s="3">
        <v>45744</v>
      </c>
      <c r="C143" t="s">
        <v>27</v>
      </c>
      <c r="D143" t="str">
        <f>_xlfn.XLOOKUP(TB_Venda[[#This Row],[Código do Produto]],TB_Produto[Código],TB_Produto[Nome do Produto])</f>
        <v>Top Fitness</v>
      </c>
      <c r="E143" t="str">
        <f>VLOOKUP(TB_Venda[[#This Row],[Código do Produto]],TB_Produto[],3,FALSE)</f>
        <v>Roupas Femininas</v>
      </c>
      <c r="F143" t="str" cm="1">
        <f t="array" ref="F143">_xlfn.IFS(LEFT(TB_Venda[[#This Row],[Categoria]],5)="Roupa","Roupa",LEFT(TB_Venda[[#This Row],[Categoria]],7)="Calçado","Calçado",1,"Outros")</f>
        <v>Roupa</v>
      </c>
      <c r="G143" t="s">
        <v>74</v>
      </c>
      <c r="H143" s="1">
        <v>4</v>
      </c>
      <c r="I143" s="4">
        <v>80.022199999999998</v>
      </c>
      <c r="J143" t="s">
        <v>93</v>
      </c>
    </row>
    <row r="144" spans="1:10" x14ac:dyDescent="0.25">
      <c r="A144" t="s">
        <v>245</v>
      </c>
      <c r="B144" s="3">
        <v>45808</v>
      </c>
      <c r="C144" t="s">
        <v>19</v>
      </c>
      <c r="D144" t="str">
        <f>_xlfn.XLOOKUP(TB_Venda[[#This Row],[Código do Produto]],TB_Produto[Código],TB_Produto[Nome do Produto])</f>
        <v>Macacão</v>
      </c>
      <c r="E144" t="str">
        <f>VLOOKUP(TB_Venda[[#This Row],[Código do Produto]],TB_Produto[],3,FALSE)</f>
        <v>Roupas Femininas</v>
      </c>
      <c r="F144" t="str" cm="1">
        <f t="array" ref="F144">_xlfn.IFS(LEFT(TB_Venda[[#This Row],[Categoria]],5)="Roupa","Roupa",LEFT(TB_Venda[[#This Row],[Categoria]],7)="Calçado","Calçado",1,"Outros")</f>
        <v>Roupa</v>
      </c>
      <c r="G144" t="s">
        <v>75</v>
      </c>
      <c r="H144" s="1">
        <v>5</v>
      </c>
      <c r="I144" s="4">
        <v>141.94560000000001</v>
      </c>
      <c r="J144" t="s">
        <v>94</v>
      </c>
    </row>
    <row r="145" spans="1:10" x14ac:dyDescent="0.25">
      <c r="A145" t="s">
        <v>246</v>
      </c>
      <c r="B145" s="3">
        <v>45729</v>
      </c>
      <c r="C145" t="s">
        <v>22</v>
      </c>
      <c r="D145" t="str">
        <f>_xlfn.XLOOKUP(TB_Venda[[#This Row],[Código do Produto]],TB_Produto[Código],TB_Produto[Nome do Produto])</f>
        <v>Mule Feminino</v>
      </c>
      <c r="E145" t="str">
        <f>VLOOKUP(TB_Venda[[#This Row],[Código do Produto]],TB_Produto[],3,FALSE)</f>
        <v>Calçados</v>
      </c>
      <c r="F145" t="str" cm="1">
        <f t="array" ref="F145">_xlfn.IFS(LEFT(TB_Venda[[#This Row],[Categoria]],5)="Roupa","Roupa",LEFT(TB_Venda[[#This Row],[Categoria]],7)="Calçado","Calçado",1,"Outros")</f>
        <v>Calçado</v>
      </c>
      <c r="G145" t="s">
        <v>73</v>
      </c>
      <c r="H145" s="1">
        <v>1</v>
      </c>
      <c r="I145" s="4">
        <v>72.620999999999995</v>
      </c>
      <c r="J145" t="s">
        <v>92</v>
      </c>
    </row>
    <row r="146" spans="1:10" x14ac:dyDescent="0.25">
      <c r="A146" t="s">
        <v>247</v>
      </c>
      <c r="B146" s="3">
        <v>45778</v>
      </c>
      <c r="C146" t="s">
        <v>24</v>
      </c>
      <c r="D146" t="str">
        <f>_xlfn.XLOOKUP(TB_Venda[[#This Row],[Código do Produto]],TB_Produto[Código],TB_Produto[Nome do Produto])</f>
        <v>Camiseta Estampada</v>
      </c>
      <c r="E146" t="str">
        <f>VLOOKUP(TB_Venda[[#This Row],[Código do Produto]],TB_Produto[],3,FALSE)</f>
        <v>Roupas Unissex</v>
      </c>
      <c r="F146" t="str" cm="1">
        <f t="array" ref="F146">_xlfn.IFS(LEFT(TB_Venda[[#This Row],[Categoria]],5)="Roupa","Roupa",LEFT(TB_Venda[[#This Row],[Categoria]],7)="Calçado","Calçado",1,"Outros")</f>
        <v>Roupa</v>
      </c>
      <c r="G146" t="s">
        <v>73</v>
      </c>
      <c r="H146" s="1">
        <v>4</v>
      </c>
      <c r="I146" s="4">
        <v>343.28160000000003</v>
      </c>
      <c r="J146" t="s">
        <v>92</v>
      </c>
    </row>
    <row r="147" spans="1:10" x14ac:dyDescent="0.25">
      <c r="A147" t="s">
        <v>248</v>
      </c>
      <c r="B147" s="3">
        <v>45810</v>
      </c>
      <c r="C147" t="s">
        <v>5</v>
      </c>
      <c r="D147" t="str">
        <f>_xlfn.XLOOKUP(TB_Venda[[#This Row],[Código do Produto]],TB_Produto[Código],TB_Produto[Nome do Produto])</f>
        <v>Tênis Esportivo</v>
      </c>
      <c r="E147" t="str">
        <f>VLOOKUP(TB_Venda[[#This Row],[Código do Produto]],TB_Produto[],3,FALSE)</f>
        <v>Calçados</v>
      </c>
      <c r="F147" t="str" cm="1">
        <f t="array" ref="F147">_xlfn.IFS(LEFT(TB_Venda[[#This Row],[Categoria]],5)="Roupa","Roupa",LEFT(TB_Venda[[#This Row],[Categoria]],7)="Calçado","Calçado",1,"Outros")</f>
        <v>Calçado</v>
      </c>
      <c r="G147" t="s">
        <v>75</v>
      </c>
      <c r="H147" s="1">
        <v>2</v>
      </c>
      <c r="I147" s="4">
        <v>443.50080000000003</v>
      </c>
      <c r="J147" t="s">
        <v>94</v>
      </c>
    </row>
    <row r="148" spans="1:10" x14ac:dyDescent="0.25">
      <c r="A148" t="s">
        <v>249</v>
      </c>
      <c r="B148" s="3">
        <v>45702</v>
      </c>
      <c r="C148" t="s">
        <v>10</v>
      </c>
      <c r="D148" t="str">
        <f>_xlfn.XLOOKUP(TB_Venda[[#This Row],[Código do Produto]],TB_Produto[Código],TB_Produto[Nome do Produto])</f>
        <v>Jaqueta Jeans</v>
      </c>
      <c r="E148" t="str">
        <f>VLOOKUP(TB_Venda[[#This Row],[Código do Produto]],TB_Produto[],3,FALSE)</f>
        <v>Roupas Unissex</v>
      </c>
      <c r="F148" t="str" cm="1">
        <f t="array" ref="F148">_xlfn.IFS(LEFT(TB_Venda[[#This Row],[Categoria]],5)="Roupa","Roupa",LEFT(TB_Venda[[#This Row],[Categoria]],7)="Calçado","Calçado",1,"Outros")</f>
        <v>Roupa</v>
      </c>
      <c r="G148" t="s">
        <v>72</v>
      </c>
      <c r="H148" s="1">
        <v>4</v>
      </c>
      <c r="I148" s="4">
        <v>259.16159999999996</v>
      </c>
      <c r="J148" t="s">
        <v>92</v>
      </c>
    </row>
    <row r="149" spans="1:10" x14ac:dyDescent="0.25">
      <c r="A149" t="s">
        <v>250</v>
      </c>
      <c r="B149" s="3">
        <v>45727</v>
      </c>
      <c r="C149" t="s">
        <v>7</v>
      </c>
      <c r="D149" t="str">
        <f>_xlfn.XLOOKUP(TB_Venda[[#This Row],[Código do Produto]],TB_Produto[Código],TB_Produto[Nome do Produto])</f>
        <v>Blusa de Frio</v>
      </c>
      <c r="E149" t="str">
        <f>VLOOKUP(TB_Venda[[#This Row],[Código do Produto]],TB_Produto[],3,FALSE)</f>
        <v>Roupas Femininas</v>
      </c>
      <c r="F149" t="str" cm="1">
        <f t="array" ref="F149">_xlfn.IFS(LEFT(TB_Venda[[#This Row],[Categoria]],5)="Roupa","Roupa",LEFT(TB_Venda[[#This Row],[Categoria]],7)="Calçado","Calçado",1,"Outros")</f>
        <v>Roupa</v>
      </c>
      <c r="G149" t="s">
        <v>74</v>
      </c>
      <c r="H149" s="1">
        <v>3</v>
      </c>
      <c r="I149" s="4">
        <v>261.65700000000004</v>
      </c>
      <c r="J149" t="s">
        <v>93</v>
      </c>
    </row>
    <row r="150" spans="1:10" x14ac:dyDescent="0.25">
      <c r="A150" t="s">
        <v>251</v>
      </c>
      <c r="B150" s="3">
        <v>45669</v>
      </c>
      <c r="C150" t="s">
        <v>20</v>
      </c>
      <c r="D150" t="str">
        <f>_xlfn.XLOOKUP(TB_Venda[[#This Row],[Código do Produto]],TB_Produto[Código],TB_Produto[Nome do Produto])</f>
        <v>Regata Masculina</v>
      </c>
      <c r="E150" t="str">
        <f>VLOOKUP(TB_Venda[[#This Row],[Código do Produto]],TB_Produto[],3,FALSE)</f>
        <v>Roupas Masculinas</v>
      </c>
      <c r="F150" t="str" cm="1">
        <f t="array" ref="F150">_xlfn.IFS(LEFT(TB_Venda[[#This Row],[Categoria]],5)="Roupa","Roupa",LEFT(TB_Venda[[#This Row],[Categoria]],7)="Calçado","Calçado",1,"Outros")</f>
        <v>Roupa</v>
      </c>
      <c r="G150" t="s">
        <v>75</v>
      </c>
      <c r="H150" s="1">
        <v>3</v>
      </c>
      <c r="I150" s="4">
        <v>402.91200000000003</v>
      </c>
      <c r="J150" t="s">
        <v>94</v>
      </c>
    </row>
    <row r="151" spans="1:10" x14ac:dyDescent="0.25">
      <c r="A151" t="s">
        <v>252</v>
      </c>
      <c r="B151" s="3">
        <v>45700</v>
      </c>
      <c r="C151" t="s">
        <v>19</v>
      </c>
      <c r="D151" t="str">
        <f>_xlfn.XLOOKUP(TB_Venda[[#This Row],[Código do Produto]],TB_Produto[Código],TB_Produto[Nome do Produto])</f>
        <v>Macacão</v>
      </c>
      <c r="E151" t="str">
        <f>VLOOKUP(TB_Venda[[#This Row],[Código do Produto]],TB_Produto[],3,FALSE)</f>
        <v>Roupas Femininas</v>
      </c>
      <c r="F151" t="str" cm="1">
        <f t="array" ref="F151">_xlfn.IFS(LEFT(TB_Venda[[#This Row],[Categoria]],5)="Roupa","Roupa",LEFT(TB_Venda[[#This Row],[Categoria]],7)="Calçado","Calçado",1,"Outros")</f>
        <v>Roupa</v>
      </c>
      <c r="G151" t="s">
        <v>74</v>
      </c>
      <c r="H151" s="1">
        <v>5</v>
      </c>
      <c r="I151" s="4">
        <v>137.50980000000001</v>
      </c>
      <c r="J151" t="s">
        <v>93</v>
      </c>
    </row>
    <row r="152" spans="1:10" x14ac:dyDescent="0.25">
      <c r="A152" t="s">
        <v>253</v>
      </c>
      <c r="B152" s="3">
        <v>45811</v>
      </c>
      <c r="C152" t="s">
        <v>26</v>
      </c>
      <c r="D152" t="str">
        <f>_xlfn.XLOOKUP(TB_Venda[[#This Row],[Código do Produto]],TB_Produto[Código],TB_Produto[Nome do Produto])</f>
        <v>Sandália Rasteira</v>
      </c>
      <c r="E152" t="str">
        <f>VLOOKUP(TB_Venda[[#This Row],[Código do Produto]],TB_Produto[],3,FALSE)</f>
        <v>Calçados</v>
      </c>
      <c r="F152" t="str" cm="1">
        <f t="array" ref="F152">_xlfn.IFS(LEFT(TB_Venda[[#This Row],[Categoria]],5)="Roupa","Roupa",LEFT(TB_Venda[[#This Row],[Categoria]],7)="Calçado","Calçado",1,"Outros")</f>
        <v>Calçado</v>
      </c>
      <c r="G152" t="s">
        <v>76</v>
      </c>
      <c r="H152" s="1">
        <v>3</v>
      </c>
      <c r="I152" s="4">
        <v>386.41919999999999</v>
      </c>
      <c r="J152" t="s">
        <v>95</v>
      </c>
    </row>
    <row r="153" spans="1:10" x14ac:dyDescent="0.25">
      <c r="A153" t="s">
        <v>254</v>
      </c>
      <c r="B153" s="3">
        <v>45694</v>
      </c>
      <c r="C153" t="s">
        <v>20</v>
      </c>
      <c r="D153" t="str">
        <f>_xlfn.XLOOKUP(TB_Venda[[#This Row],[Código do Produto]],TB_Produto[Código],TB_Produto[Nome do Produto])</f>
        <v>Regata Masculina</v>
      </c>
      <c r="E153" t="str">
        <f>VLOOKUP(TB_Venda[[#This Row],[Código do Produto]],TB_Produto[],3,FALSE)</f>
        <v>Roupas Masculinas</v>
      </c>
      <c r="F153" t="str" cm="1">
        <f t="array" ref="F153">_xlfn.IFS(LEFT(TB_Venda[[#This Row],[Categoria]],5)="Roupa","Roupa",LEFT(TB_Venda[[#This Row],[Categoria]],7)="Calçado","Calçado",1,"Outros")</f>
        <v>Roupa</v>
      </c>
      <c r="G153" t="s">
        <v>78</v>
      </c>
      <c r="H153" s="1">
        <v>4</v>
      </c>
      <c r="I153" s="4">
        <v>438.72640000000001</v>
      </c>
      <c r="J153" t="s">
        <v>95</v>
      </c>
    </row>
    <row r="154" spans="1:10" x14ac:dyDescent="0.25">
      <c r="A154" t="s">
        <v>255</v>
      </c>
      <c r="B154" s="3">
        <v>45761</v>
      </c>
      <c r="C154" t="s">
        <v>30</v>
      </c>
      <c r="D154" t="str">
        <f>_xlfn.XLOOKUP(TB_Venda[[#This Row],[Código do Produto]],TB_Produto[Código],TB_Produto[Nome do Produto])</f>
        <v>Tênis Corrida</v>
      </c>
      <c r="E154" t="str">
        <f>VLOOKUP(TB_Venda[[#This Row],[Código do Produto]],TB_Produto[],3,FALSE)</f>
        <v>Calçados</v>
      </c>
      <c r="F154" t="str" cm="1">
        <f t="array" ref="F154">_xlfn.IFS(LEFT(TB_Venda[[#This Row],[Categoria]],5)="Roupa","Roupa",LEFT(TB_Venda[[#This Row],[Categoria]],7)="Calçado","Calçado",1,"Outros")</f>
        <v>Calçado</v>
      </c>
      <c r="G154" t="s">
        <v>77</v>
      </c>
      <c r="H154" s="1">
        <v>3</v>
      </c>
      <c r="I154" s="4">
        <v>144.774</v>
      </c>
      <c r="J154" t="s">
        <v>96</v>
      </c>
    </row>
    <row r="155" spans="1:10" x14ac:dyDescent="0.25">
      <c r="A155" t="s">
        <v>256</v>
      </c>
      <c r="B155" s="3">
        <v>45732</v>
      </c>
      <c r="C155" t="s">
        <v>12</v>
      </c>
      <c r="D155" t="str">
        <f>_xlfn.XLOOKUP(TB_Venda[[#This Row],[Código do Produto]],TB_Produto[Código],TB_Produto[Nome do Produto])</f>
        <v>Calça Jeans Masculina</v>
      </c>
      <c r="E155" t="str">
        <f>VLOOKUP(TB_Venda[[#This Row],[Código do Produto]],TB_Produto[],3,FALSE)</f>
        <v>Roupas Masculinas</v>
      </c>
      <c r="F155" t="str" cm="1">
        <f t="array" ref="F155">_xlfn.IFS(LEFT(TB_Venda[[#This Row],[Categoria]],5)="Roupa","Roupa",LEFT(TB_Venda[[#This Row],[Categoria]],7)="Calçado","Calçado",1,"Outros")</f>
        <v>Roupa</v>
      </c>
      <c r="G155" t="s">
        <v>72</v>
      </c>
      <c r="H155" s="1">
        <v>5</v>
      </c>
      <c r="I155" s="4">
        <v>223.84520000000001</v>
      </c>
      <c r="J155" t="s">
        <v>92</v>
      </c>
    </row>
    <row r="156" spans="1:10" x14ac:dyDescent="0.25">
      <c r="A156" t="s">
        <v>257</v>
      </c>
      <c r="B156" s="3">
        <v>45662</v>
      </c>
      <c r="C156" t="s">
        <v>11</v>
      </c>
      <c r="D156" t="str">
        <f>_xlfn.XLOOKUP(TB_Venda[[#This Row],[Código do Produto]],TB_Produto[Código],TB_Produto[Nome do Produto])</f>
        <v>Sapatênis</v>
      </c>
      <c r="E156" t="str">
        <f>VLOOKUP(TB_Venda[[#This Row],[Código do Produto]],TB_Produto[],3,FALSE)</f>
        <v>Calçados</v>
      </c>
      <c r="F156" t="str" cm="1">
        <f t="array" ref="F156">_xlfn.IFS(LEFT(TB_Venda[[#This Row],[Categoria]],5)="Roupa","Roupa",LEFT(TB_Venda[[#This Row],[Categoria]],7)="Calçado","Calçado",1,"Outros")</f>
        <v>Calçado</v>
      </c>
      <c r="G156" t="s">
        <v>74</v>
      </c>
      <c r="H156" s="1">
        <v>4</v>
      </c>
      <c r="I156" s="4">
        <v>132.47289999999998</v>
      </c>
      <c r="J156" t="s">
        <v>93</v>
      </c>
    </row>
    <row r="157" spans="1:10" x14ac:dyDescent="0.25">
      <c r="A157" t="s">
        <v>258</v>
      </c>
      <c r="B157" s="3">
        <v>45788</v>
      </c>
      <c r="C157" t="s">
        <v>13</v>
      </c>
      <c r="D157" t="str">
        <f>_xlfn.XLOOKUP(TB_Venda[[#This Row],[Código do Produto]],TB_Produto[Código],TB_Produto[Nome do Produto])</f>
        <v>Saia Midi</v>
      </c>
      <c r="E157" t="str">
        <f>VLOOKUP(TB_Venda[[#This Row],[Código do Produto]],TB_Produto[],3,FALSE)</f>
        <v>Roupas Femininas</v>
      </c>
      <c r="F157" t="str" cm="1">
        <f t="array" ref="F157">_xlfn.IFS(LEFT(TB_Venda[[#This Row],[Categoria]],5)="Roupa","Roupa",LEFT(TB_Venda[[#This Row],[Categoria]],7)="Calçado","Calçado",1,"Outros")</f>
        <v>Roupa</v>
      </c>
      <c r="G157" t="s">
        <v>79</v>
      </c>
      <c r="H157" s="1">
        <v>5</v>
      </c>
      <c r="I157" s="4">
        <v>187.434</v>
      </c>
      <c r="J157" t="s">
        <v>96</v>
      </c>
    </row>
    <row r="158" spans="1:10" x14ac:dyDescent="0.25">
      <c r="A158" t="s">
        <v>259</v>
      </c>
      <c r="B158" s="3">
        <v>45819</v>
      </c>
      <c r="C158" t="s">
        <v>32</v>
      </c>
      <c r="D158" t="str">
        <f>_xlfn.XLOOKUP(TB_Venda[[#This Row],[Código do Produto]],TB_Produto[Código],TB_Produto[Nome do Produto])</f>
        <v>Chinelo Slide</v>
      </c>
      <c r="E158" t="str">
        <f>VLOOKUP(TB_Venda[[#This Row],[Código do Produto]],TB_Produto[],3,FALSE)</f>
        <v>Calçados</v>
      </c>
      <c r="F158" t="str" cm="1">
        <f t="array" ref="F158">_xlfn.IFS(LEFT(TB_Venda[[#This Row],[Categoria]],5)="Roupa","Roupa",LEFT(TB_Venda[[#This Row],[Categoria]],7)="Calçado","Calçado",1,"Outros")</f>
        <v>Calçado</v>
      </c>
      <c r="G158" t="s">
        <v>74</v>
      </c>
      <c r="H158" s="1">
        <v>1</v>
      </c>
      <c r="I158" s="4">
        <v>140.57679999999999</v>
      </c>
      <c r="J158" t="s">
        <v>93</v>
      </c>
    </row>
    <row r="159" spans="1:10" x14ac:dyDescent="0.25">
      <c r="A159" t="s">
        <v>260</v>
      </c>
      <c r="B159" s="3">
        <v>45764</v>
      </c>
      <c r="C159" t="s">
        <v>14</v>
      </c>
      <c r="D159" t="str">
        <f>_xlfn.XLOOKUP(TB_Venda[[#This Row],[Código do Produto]],TB_Produto[Código],TB_Produto[Nome do Produto])</f>
        <v>Camiseta Básica</v>
      </c>
      <c r="E159" t="str">
        <f>VLOOKUP(TB_Venda[[#This Row],[Código do Produto]],TB_Produto[],3,FALSE)</f>
        <v>Roupas Unissex</v>
      </c>
      <c r="F159" t="str" cm="1">
        <f t="array" ref="F159">_xlfn.IFS(LEFT(TB_Venda[[#This Row],[Categoria]],5)="Roupa","Roupa",LEFT(TB_Venda[[#This Row],[Categoria]],7)="Calçado","Calçado",1,"Outros")</f>
        <v>Roupa</v>
      </c>
      <c r="G159" t="s">
        <v>78</v>
      </c>
      <c r="H159" s="1">
        <v>2</v>
      </c>
      <c r="I159" s="4">
        <v>165.27959999999999</v>
      </c>
      <c r="J159" t="s">
        <v>95</v>
      </c>
    </row>
    <row r="160" spans="1:10" x14ac:dyDescent="0.25">
      <c r="A160" t="s">
        <v>261</v>
      </c>
      <c r="B160" s="3">
        <v>45696</v>
      </c>
      <c r="C160" t="s">
        <v>19</v>
      </c>
      <c r="D160" t="str">
        <f>_xlfn.XLOOKUP(TB_Venda[[#This Row],[Código do Produto]],TB_Produto[Código],TB_Produto[Nome do Produto])</f>
        <v>Macacão</v>
      </c>
      <c r="E160" t="str">
        <f>VLOOKUP(TB_Venda[[#This Row],[Código do Produto]],TB_Produto[],3,FALSE)</f>
        <v>Roupas Femininas</v>
      </c>
      <c r="F160" t="str" cm="1">
        <f t="array" ref="F160">_xlfn.IFS(LEFT(TB_Venda[[#This Row],[Categoria]],5)="Roupa","Roupa",LEFT(TB_Venda[[#This Row],[Categoria]],7)="Calçado","Calçado",1,"Outros")</f>
        <v>Roupa</v>
      </c>
      <c r="G160" t="s">
        <v>77</v>
      </c>
      <c r="H160" s="1">
        <v>4</v>
      </c>
      <c r="I160" s="4">
        <v>138.98840000000001</v>
      </c>
      <c r="J160" t="s">
        <v>96</v>
      </c>
    </row>
    <row r="161" spans="1:10" x14ac:dyDescent="0.25">
      <c r="A161" t="s">
        <v>262</v>
      </c>
      <c r="B161" s="3">
        <v>45721</v>
      </c>
      <c r="C161" t="s">
        <v>24</v>
      </c>
      <c r="D161" t="str">
        <f>_xlfn.XLOOKUP(TB_Venda[[#This Row],[Código do Produto]],TB_Produto[Código],TB_Produto[Nome do Produto])</f>
        <v>Camiseta Estampada</v>
      </c>
      <c r="E161" t="str">
        <f>VLOOKUP(TB_Venda[[#This Row],[Código do Produto]],TB_Produto[],3,FALSE)</f>
        <v>Roupas Unissex</v>
      </c>
      <c r="F161" t="str" cm="1">
        <f t="array" ref="F161">_xlfn.IFS(LEFT(TB_Venda[[#This Row],[Categoria]],5)="Roupa","Roupa",LEFT(TB_Venda[[#This Row],[Categoria]],7)="Calçado","Calçado",1,"Outros")</f>
        <v>Roupa</v>
      </c>
      <c r="G161" t="s">
        <v>79</v>
      </c>
      <c r="H161" s="1">
        <v>5</v>
      </c>
      <c r="I161" s="4">
        <v>358.04640000000001</v>
      </c>
      <c r="J161" t="s">
        <v>96</v>
      </c>
    </row>
    <row r="162" spans="1:10" x14ac:dyDescent="0.25">
      <c r="A162" t="s">
        <v>263</v>
      </c>
      <c r="B162" s="3">
        <v>45752</v>
      </c>
      <c r="C162" t="s">
        <v>7</v>
      </c>
      <c r="D162" t="str">
        <f>_xlfn.XLOOKUP(TB_Venda[[#This Row],[Código do Produto]],TB_Produto[Código],TB_Produto[Nome do Produto])</f>
        <v>Blusa de Frio</v>
      </c>
      <c r="E162" t="str">
        <f>VLOOKUP(TB_Venda[[#This Row],[Código do Produto]],TB_Produto[],3,FALSE)</f>
        <v>Roupas Femininas</v>
      </c>
      <c r="F162" t="str" cm="1">
        <f t="array" ref="F162">_xlfn.IFS(LEFT(TB_Venda[[#This Row],[Categoria]],5)="Roupa","Roupa",LEFT(TB_Venda[[#This Row],[Categoria]],7)="Calçado","Calçado",1,"Outros")</f>
        <v>Roupa</v>
      </c>
      <c r="G162" t="s">
        <v>79</v>
      </c>
      <c r="H162" s="1">
        <v>1</v>
      </c>
      <c r="I162" s="4">
        <v>261.65700000000004</v>
      </c>
      <c r="J162" t="s">
        <v>96</v>
      </c>
    </row>
    <row r="163" spans="1:10" x14ac:dyDescent="0.25">
      <c r="A163" t="s">
        <v>264</v>
      </c>
      <c r="B163" s="3">
        <v>45800</v>
      </c>
      <c r="C163" t="s">
        <v>32</v>
      </c>
      <c r="D163" t="str">
        <f>_xlfn.XLOOKUP(TB_Venda[[#This Row],[Código do Produto]],TB_Produto[Código],TB_Produto[Nome do Produto])</f>
        <v>Chinelo Slide</v>
      </c>
      <c r="E163" t="str">
        <f>VLOOKUP(TB_Venda[[#This Row],[Código do Produto]],TB_Produto[],3,FALSE)</f>
        <v>Calçados</v>
      </c>
      <c r="F163" t="str" cm="1">
        <f t="array" ref="F163">_xlfn.IFS(LEFT(TB_Venda[[#This Row],[Categoria]],5)="Roupa","Roupa",LEFT(TB_Venda[[#This Row],[Categoria]],7)="Calçado","Calçado",1,"Outros")</f>
        <v>Calçado</v>
      </c>
      <c r="G163" t="s">
        <v>77</v>
      </c>
      <c r="H163" s="1">
        <v>4</v>
      </c>
      <c r="I163" s="4">
        <v>139.03199999999998</v>
      </c>
      <c r="J163" t="s">
        <v>96</v>
      </c>
    </row>
    <row r="164" spans="1:10" x14ac:dyDescent="0.25">
      <c r="A164" t="s">
        <v>265</v>
      </c>
      <c r="B164" s="3">
        <v>45658</v>
      </c>
      <c r="C164" t="s">
        <v>26</v>
      </c>
      <c r="D164" t="str">
        <f>_xlfn.XLOOKUP(TB_Venda[[#This Row],[Código do Produto]],TB_Produto[Código],TB_Produto[Nome do Produto])</f>
        <v>Sandália Rasteira</v>
      </c>
      <c r="E164" t="str">
        <f>VLOOKUP(TB_Venda[[#This Row],[Código do Produto]],TB_Produto[],3,FALSE)</f>
        <v>Calçados</v>
      </c>
      <c r="F164" t="str" cm="1">
        <f t="array" ref="F164">_xlfn.IFS(LEFT(TB_Venda[[#This Row],[Categoria]],5)="Roupa","Roupa",LEFT(TB_Venda[[#This Row],[Categoria]],7)="Calçado","Calçado",1,"Outros")</f>
        <v>Calçado</v>
      </c>
      <c r="G164" t="s">
        <v>78</v>
      </c>
      <c r="H164" s="1">
        <v>4</v>
      </c>
      <c r="I164" s="4">
        <v>390.44439999999997</v>
      </c>
      <c r="J164" t="s">
        <v>95</v>
      </c>
    </row>
    <row r="165" spans="1:10" x14ac:dyDescent="0.25">
      <c r="A165" t="s">
        <v>266</v>
      </c>
      <c r="B165" s="3">
        <v>45774</v>
      </c>
      <c r="C165" t="s">
        <v>11</v>
      </c>
      <c r="D165" t="str">
        <f>_xlfn.XLOOKUP(TB_Venda[[#This Row],[Código do Produto]],TB_Produto[Código],TB_Produto[Nome do Produto])</f>
        <v>Sapatênis</v>
      </c>
      <c r="E165" t="str">
        <f>VLOOKUP(TB_Venda[[#This Row],[Código do Produto]],TB_Produto[],3,FALSE)</f>
        <v>Calçados</v>
      </c>
      <c r="F165" t="str" cm="1">
        <f t="array" ref="F165">_xlfn.IFS(LEFT(TB_Venda[[#This Row],[Categoria]],5)="Roupa","Roupa",LEFT(TB_Venda[[#This Row],[Categoria]],7)="Calçado","Calçado",1,"Outros")</f>
        <v>Calçado</v>
      </c>
      <c r="G165" t="s">
        <v>78</v>
      </c>
      <c r="H165" s="1">
        <v>5</v>
      </c>
      <c r="I165" s="4">
        <v>129.7415</v>
      </c>
      <c r="J165" t="s">
        <v>95</v>
      </c>
    </row>
    <row r="166" spans="1:10" x14ac:dyDescent="0.25">
      <c r="A166" t="s">
        <v>267</v>
      </c>
      <c r="B166" s="3">
        <v>45765</v>
      </c>
      <c r="C166" t="s">
        <v>16</v>
      </c>
      <c r="D166" t="str">
        <f>_xlfn.XLOOKUP(TB_Venda[[#This Row],[Código do Produto]],TB_Produto[Código],TB_Produto[Nome do Produto])</f>
        <v>Shorts Jeans</v>
      </c>
      <c r="E166" t="str">
        <f>VLOOKUP(TB_Venda[[#This Row],[Código do Produto]],TB_Produto[],3,FALSE)</f>
        <v>Roupas Femininas</v>
      </c>
      <c r="F166" t="str" cm="1">
        <f t="array" ref="F166">_xlfn.IFS(LEFT(TB_Venda[[#This Row],[Categoria]],5)="Roupa","Roupa",LEFT(TB_Venda[[#This Row],[Categoria]],7)="Calçado","Calçado",1,"Outros")</f>
        <v>Roupa</v>
      </c>
      <c r="G166" t="s">
        <v>78</v>
      </c>
      <c r="H166" s="1">
        <v>2</v>
      </c>
      <c r="I166" s="4">
        <v>209.6858</v>
      </c>
      <c r="J166" t="s">
        <v>95</v>
      </c>
    </row>
    <row r="167" spans="1:10" x14ac:dyDescent="0.25">
      <c r="A167" t="s">
        <v>268</v>
      </c>
      <c r="B167" s="3">
        <v>45799</v>
      </c>
      <c r="C167" t="s">
        <v>24</v>
      </c>
      <c r="D167" t="str">
        <f>_xlfn.XLOOKUP(TB_Venda[[#This Row],[Código do Produto]],TB_Produto[Código],TB_Produto[Nome do Produto])</f>
        <v>Camiseta Estampada</v>
      </c>
      <c r="E167" t="str">
        <f>VLOOKUP(TB_Venda[[#This Row],[Código do Produto]],TB_Produto[],3,FALSE)</f>
        <v>Roupas Unissex</v>
      </c>
      <c r="F167" t="str" cm="1">
        <f t="array" ref="F167">_xlfn.IFS(LEFT(TB_Venda[[#This Row],[Categoria]],5)="Roupa","Roupa",LEFT(TB_Venda[[#This Row],[Categoria]],7)="Calçado","Calçado",1,"Outros")</f>
        <v>Roupa</v>
      </c>
      <c r="G167" t="s">
        <v>80</v>
      </c>
      <c r="H167" s="1">
        <v>1</v>
      </c>
      <c r="I167" s="4">
        <v>335.89920000000001</v>
      </c>
      <c r="J167" t="s">
        <v>92</v>
      </c>
    </row>
    <row r="168" spans="1:10" x14ac:dyDescent="0.25">
      <c r="A168" t="s">
        <v>269</v>
      </c>
      <c r="B168" s="3">
        <v>45680</v>
      </c>
      <c r="C168" t="s">
        <v>29</v>
      </c>
      <c r="D168" t="str">
        <f>_xlfn.XLOOKUP(TB_Venda[[#This Row],[Código do Produto]],TB_Produto[Código],TB_Produto[Nome do Produto])</f>
        <v>Camisa de Time</v>
      </c>
      <c r="E168" t="str">
        <f>VLOOKUP(TB_Venda[[#This Row],[Código do Produto]],TB_Produto[],3,FALSE)</f>
        <v>Roupas Masculinas</v>
      </c>
      <c r="F168" t="str" cm="1">
        <f t="array" ref="F168">_xlfn.IFS(LEFT(TB_Venda[[#This Row],[Categoria]],5)="Roupa","Roupa",LEFT(TB_Venda[[#This Row],[Categoria]],7)="Calçado","Calçado",1,"Outros")</f>
        <v>Roupa</v>
      </c>
      <c r="G168" t="s">
        <v>74</v>
      </c>
      <c r="H168" s="1">
        <v>3</v>
      </c>
      <c r="I168" s="4">
        <v>209.48160000000001</v>
      </c>
      <c r="J168" t="s">
        <v>93</v>
      </c>
    </row>
    <row r="169" spans="1:10" x14ac:dyDescent="0.25">
      <c r="A169" t="s">
        <v>270</v>
      </c>
      <c r="B169" s="3">
        <v>45787</v>
      </c>
      <c r="C169" t="s">
        <v>15</v>
      </c>
      <c r="D169" t="str">
        <f>_xlfn.XLOOKUP(TB_Venda[[#This Row],[Código do Produto]],TB_Produto[Código],TB_Produto[Nome do Produto])</f>
        <v>Bota Feminina</v>
      </c>
      <c r="E169" t="str">
        <f>VLOOKUP(TB_Venda[[#This Row],[Código do Produto]],TB_Produto[],3,FALSE)</f>
        <v>Calçados</v>
      </c>
      <c r="F169" t="str" cm="1">
        <f t="array" ref="F169">_xlfn.IFS(LEFT(TB_Venda[[#This Row],[Categoria]],5)="Roupa","Roupa",LEFT(TB_Venda[[#This Row],[Categoria]],7)="Calçado","Calçado",1,"Outros")</f>
        <v>Calçado</v>
      </c>
      <c r="G169" t="s">
        <v>72</v>
      </c>
      <c r="H169" s="1">
        <v>1</v>
      </c>
      <c r="I169" s="4">
        <v>484.31599999999997</v>
      </c>
      <c r="J169" t="s">
        <v>92</v>
      </c>
    </row>
    <row r="170" spans="1:10" x14ac:dyDescent="0.25">
      <c r="A170" t="s">
        <v>271</v>
      </c>
      <c r="B170" s="3">
        <v>45783</v>
      </c>
      <c r="C170" t="s">
        <v>27</v>
      </c>
      <c r="D170" t="str">
        <f>_xlfn.XLOOKUP(TB_Venda[[#This Row],[Código do Produto]],TB_Produto[Código],TB_Produto[Nome do Produto])</f>
        <v>Top Fitness</v>
      </c>
      <c r="E170" t="str">
        <f>VLOOKUP(TB_Venda[[#This Row],[Código do Produto]],TB_Produto[],3,FALSE)</f>
        <v>Roupas Femininas</v>
      </c>
      <c r="F170" t="str" cm="1">
        <f t="array" ref="F170">_xlfn.IFS(LEFT(TB_Venda[[#This Row],[Categoria]],5)="Roupa","Roupa",LEFT(TB_Venda[[#This Row],[Categoria]],7)="Calçado","Calçado",1,"Outros")</f>
        <v>Roupa</v>
      </c>
      <c r="G170" t="s">
        <v>81</v>
      </c>
      <c r="H170" s="1">
        <v>3</v>
      </c>
      <c r="I170" s="4">
        <v>80.873499999999993</v>
      </c>
      <c r="J170" t="s">
        <v>96</v>
      </c>
    </row>
    <row r="171" spans="1:10" x14ac:dyDescent="0.25">
      <c r="A171" t="s">
        <v>272</v>
      </c>
      <c r="B171" s="3">
        <v>45741</v>
      </c>
      <c r="C171" t="s">
        <v>16</v>
      </c>
      <c r="D171" t="str">
        <f>_xlfn.XLOOKUP(TB_Venda[[#This Row],[Código do Produto]],TB_Produto[Código],TB_Produto[Nome do Produto])</f>
        <v>Shorts Jeans</v>
      </c>
      <c r="E171" t="str">
        <f>VLOOKUP(TB_Venda[[#This Row],[Código do Produto]],TB_Produto[],3,FALSE)</f>
        <v>Roupas Femininas</v>
      </c>
      <c r="F171" t="str" cm="1">
        <f t="array" ref="F171">_xlfn.IFS(LEFT(TB_Venda[[#This Row],[Categoria]],5)="Roupa","Roupa",LEFT(TB_Venda[[#This Row],[Categoria]],7)="Calçado","Calçado",1,"Outros")</f>
        <v>Roupa</v>
      </c>
      <c r="G171" t="s">
        <v>80</v>
      </c>
      <c r="H171" s="1">
        <v>1</v>
      </c>
      <c r="I171" s="4">
        <v>200.76299999999998</v>
      </c>
      <c r="J171" t="s">
        <v>92</v>
      </c>
    </row>
    <row r="172" spans="1:10" x14ac:dyDescent="0.25">
      <c r="A172" t="s">
        <v>273</v>
      </c>
      <c r="B172" s="3">
        <v>45836</v>
      </c>
      <c r="C172" t="s">
        <v>27</v>
      </c>
      <c r="D172" t="str">
        <f>_xlfn.XLOOKUP(TB_Venda[[#This Row],[Código do Produto]],TB_Produto[Código],TB_Produto[Nome do Produto])</f>
        <v>Top Fitness</v>
      </c>
      <c r="E172" t="str">
        <f>VLOOKUP(TB_Venda[[#This Row],[Código do Produto]],TB_Produto[],3,FALSE)</f>
        <v>Roupas Femininas</v>
      </c>
      <c r="F172" t="str" cm="1">
        <f t="array" ref="F172">_xlfn.IFS(LEFT(TB_Venda[[#This Row],[Categoria]],5)="Roupa","Roupa",LEFT(TB_Venda[[#This Row],[Categoria]],7)="Calçado","Calçado",1,"Outros")</f>
        <v>Roupa</v>
      </c>
      <c r="G172" t="s">
        <v>80</v>
      </c>
      <c r="H172" s="1">
        <v>5</v>
      </c>
      <c r="I172" s="4">
        <v>78.319599999999994</v>
      </c>
      <c r="J172" t="s">
        <v>92</v>
      </c>
    </row>
    <row r="173" spans="1:10" x14ac:dyDescent="0.25">
      <c r="A173" t="s">
        <v>274</v>
      </c>
      <c r="B173" s="3">
        <v>45757</v>
      </c>
      <c r="C173" t="s">
        <v>7</v>
      </c>
      <c r="D173" t="str">
        <f>_xlfn.XLOOKUP(TB_Venda[[#This Row],[Código do Produto]],TB_Produto[Código],TB_Produto[Nome do Produto])</f>
        <v>Blusa de Frio</v>
      </c>
      <c r="E173" t="str">
        <f>VLOOKUP(TB_Venda[[#This Row],[Código do Produto]],TB_Produto[],3,FALSE)</f>
        <v>Roupas Femininas</v>
      </c>
      <c r="F173" t="str" cm="1">
        <f t="array" ref="F173">_xlfn.IFS(LEFT(TB_Venda[[#This Row],[Categoria]],5)="Roupa","Roupa",LEFT(TB_Venda[[#This Row],[Categoria]],7)="Calçado","Calçado",1,"Outros")</f>
        <v>Roupa</v>
      </c>
      <c r="G173" t="s">
        <v>76</v>
      </c>
      <c r="H173" s="1">
        <v>2</v>
      </c>
      <c r="I173" s="4">
        <v>282.00810000000001</v>
      </c>
      <c r="J173" t="s">
        <v>95</v>
      </c>
    </row>
    <row r="174" spans="1:10" x14ac:dyDescent="0.25">
      <c r="A174" t="s">
        <v>275</v>
      </c>
      <c r="B174" s="3">
        <v>45749</v>
      </c>
      <c r="C174" t="s">
        <v>17</v>
      </c>
      <c r="D174" t="str">
        <f>_xlfn.XLOOKUP(TB_Venda[[#This Row],[Código do Produto]],TB_Produto[Código],TB_Produto[Nome do Produto])</f>
        <v>Tênis Casual</v>
      </c>
      <c r="E174" t="str">
        <f>VLOOKUP(TB_Venda[[#This Row],[Código do Produto]],TB_Produto[],3,FALSE)</f>
        <v>Calçados</v>
      </c>
      <c r="F174" t="str" cm="1">
        <f t="array" ref="F174">_xlfn.IFS(LEFT(TB_Venda[[#This Row],[Categoria]],5)="Roupa","Roupa",LEFT(TB_Venda[[#This Row],[Categoria]],7)="Calçado","Calçado",1,"Outros")</f>
        <v>Calçado</v>
      </c>
      <c r="G174" t="s">
        <v>73</v>
      </c>
      <c r="H174" s="1">
        <v>5</v>
      </c>
      <c r="I174" s="4">
        <v>235.34780000000001</v>
      </c>
      <c r="J174" t="s">
        <v>92</v>
      </c>
    </row>
    <row r="175" spans="1:10" x14ac:dyDescent="0.25">
      <c r="A175" t="s">
        <v>276</v>
      </c>
      <c r="B175" s="3">
        <v>45735</v>
      </c>
      <c r="C175" t="s">
        <v>7</v>
      </c>
      <c r="D175" t="str">
        <f>_xlfn.XLOOKUP(TB_Venda[[#This Row],[Código do Produto]],TB_Produto[Código],TB_Produto[Nome do Produto])</f>
        <v>Blusa de Frio</v>
      </c>
      <c r="E175" t="str">
        <f>VLOOKUP(TB_Venda[[#This Row],[Código do Produto]],TB_Produto[],3,FALSE)</f>
        <v>Roupas Femininas</v>
      </c>
      <c r="F175" t="str" cm="1">
        <f t="array" ref="F175">_xlfn.IFS(LEFT(TB_Venda[[#This Row],[Categoria]],5)="Roupa","Roupa",LEFT(TB_Venda[[#This Row],[Categoria]],7)="Calçado","Calçado",1,"Outros")</f>
        <v>Roupa</v>
      </c>
      <c r="G175" t="s">
        <v>81</v>
      </c>
      <c r="H175" s="1">
        <v>5</v>
      </c>
      <c r="I175" s="4">
        <v>276.19350000000003</v>
      </c>
      <c r="J175" t="s">
        <v>96</v>
      </c>
    </row>
    <row r="176" spans="1:10" x14ac:dyDescent="0.25">
      <c r="A176" t="s">
        <v>277</v>
      </c>
      <c r="B176" s="3">
        <v>45807</v>
      </c>
      <c r="C176" t="s">
        <v>6</v>
      </c>
      <c r="D176" t="str">
        <f>_xlfn.XLOOKUP(TB_Venda[[#This Row],[Código do Produto]],TB_Produto[Código],TB_Produto[Nome do Produto])</f>
        <v>Camisa Polo</v>
      </c>
      <c r="E176" t="str">
        <f>VLOOKUP(TB_Venda[[#This Row],[Código do Produto]],TB_Produto[],3,FALSE)</f>
        <v>Camisaria</v>
      </c>
      <c r="F176" t="str" cm="1">
        <f t="array" ref="F176">_xlfn.IFS(LEFT(TB_Venda[[#This Row],[Categoria]],5)="Roupa","Roupa",LEFT(TB_Venda[[#This Row],[Categoria]],7)="Calçado","Calçado",1,"Outros")</f>
        <v>Outros</v>
      </c>
      <c r="G176" t="s">
        <v>77</v>
      </c>
      <c r="H176" s="1">
        <v>5</v>
      </c>
      <c r="I176" s="4">
        <v>249.15439999999998</v>
      </c>
      <c r="J176" t="s">
        <v>96</v>
      </c>
    </row>
    <row r="177" spans="1:10" x14ac:dyDescent="0.25">
      <c r="A177" t="s">
        <v>278</v>
      </c>
      <c r="B177" s="3">
        <v>45746</v>
      </c>
      <c r="C177" t="s">
        <v>31</v>
      </c>
      <c r="D177" t="str">
        <f>_xlfn.XLOOKUP(TB_Venda[[#This Row],[Código do Produto]],TB_Produto[Código],TB_Produto[Nome do Produto])</f>
        <v>Sapato Social</v>
      </c>
      <c r="E177" t="str">
        <f>VLOOKUP(TB_Venda[[#This Row],[Código do Produto]],TB_Produto[],3,FALSE)</f>
        <v>Calçados</v>
      </c>
      <c r="F177" t="str" cm="1">
        <f t="array" ref="F177">_xlfn.IFS(LEFT(TB_Venda[[#This Row],[Categoria]],5)="Roupa","Roupa",LEFT(TB_Venda[[#This Row],[Categoria]],7)="Calçado","Calçado",1,"Outros")</f>
        <v>Calçado</v>
      </c>
      <c r="G177" t="s">
        <v>72</v>
      </c>
      <c r="H177" s="1">
        <v>4</v>
      </c>
      <c r="I177" s="4">
        <v>268.30420000000004</v>
      </c>
      <c r="J177" t="s">
        <v>92</v>
      </c>
    </row>
    <row r="178" spans="1:10" x14ac:dyDescent="0.25">
      <c r="A178" t="s">
        <v>279</v>
      </c>
      <c r="B178" s="3">
        <v>45776</v>
      </c>
      <c r="C178" t="s">
        <v>11</v>
      </c>
      <c r="D178" t="str">
        <f>_xlfn.XLOOKUP(TB_Venda[[#This Row],[Código do Produto]],TB_Produto[Código],TB_Produto[Nome do Produto])</f>
        <v>Sapatênis</v>
      </c>
      <c r="E178" t="str">
        <f>VLOOKUP(TB_Venda[[#This Row],[Código do Produto]],TB_Produto[],3,FALSE)</f>
        <v>Calçados</v>
      </c>
      <c r="F178" t="str" cm="1">
        <f t="array" ref="F178">_xlfn.IFS(LEFT(TB_Venda[[#This Row],[Categoria]],5)="Roupa","Roupa",LEFT(TB_Venda[[#This Row],[Categoria]],7)="Calçado","Calçado",1,"Outros")</f>
        <v>Calçado</v>
      </c>
      <c r="G178" t="s">
        <v>73</v>
      </c>
      <c r="H178" s="1">
        <v>2</v>
      </c>
      <c r="I178" s="4">
        <v>125.64439999999999</v>
      </c>
      <c r="J178" t="s">
        <v>92</v>
      </c>
    </row>
    <row r="179" spans="1:10" x14ac:dyDescent="0.25">
      <c r="A179" t="s">
        <v>280</v>
      </c>
      <c r="B179" s="3">
        <v>45708</v>
      </c>
      <c r="C179" t="s">
        <v>8</v>
      </c>
      <c r="D179" t="str">
        <f>_xlfn.XLOOKUP(TB_Venda[[#This Row],[Código do Produto]],TB_Produto[Código],TB_Produto[Nome do Produto])</f>
        <v>Sandália Casual</v>
      </c>
      <c r="E179" t="str">
        <f>VLOOKUP(TB_Venda[[#This Row],[Código do Produto]],TB_Produto[],3,FALSE)</f>
        <v>Calçados</v>
      </c>
      <c r="F179" t="str" cm="1">
        <f t="array" ref="F179">_xlfn.IFS(LEFT(TB_Venda[[#This Row],[Categoria]],5)="Roupa","Roupa",LEFT(TB_Venda[[#This Row],[Categoria]],7)="Calçado","Calçado",1,"Outros")</f>
        <v>Calçado</v>
      </c>
      <c r="G179" t="s">
        <v>81</v>
      </c>
      <c r="H179" s="1">
        <v>2</v>
      </c>
      <c r="I179" s="4">
        <v>383.04630000000003</v>
      </c>
      <c r="J179" t="s">
        <v>96</v>
      </c>
    </row>
    <row r="180" spans="1:10" x14ac:dyDescent="0.25">
      <c r="A180" t="s">
        <v>281</v>
      </c>
      <c r="B180" s="3">
        <v>45825</v>
      </c>
      <c r="C180" t="s">
        <v>17</v>
      </c>
      <c r="D180" t="str">
        <f>_xlfn.XLOOKUP(TB_Venda[[#This Row],[Código do Produto]],TB_Produto[Código],TB_Produto[Nome do Produto])</f>
        <v>Tênis Casual</v>
      </c>
      <c r="E180" t="str">
        <f>VLOOKUP(TB_Venda[[#This Row],[Código do Produto]],TB_Produto[],3,FALSE)</f>
        <v>Calçados</v>
      </c>
      <c r="F180" t="str" cm="1">
        <f t="array" ref="F180">_xlfn.IFS(LEFT(TB_Venda[[#This Row],[Categoria]],5)="Roupa","Roupa",LEFT(TB_Venda[[#This Row],[Categoria]],7)="Calçado","Calçado",1,"Outros")</f>
        <v>Calçado</v>
      </c>
      <c r="G180" t="s">
        <v>81</v>
      </c>
      <c r="H180" s="1">
        <v>4</v>
      </c>
      <c r="I180" s="4">
        <v>245.36260000000001</v>
      </c>
      <c r="J180" t="s">
        <v>96</v>
      </c>
    </row>
    <row r="181" spans="1:10" x14ac:dyDescent="0.25">
      <c r="A181" t="s">
        <v>282</v>
      </c>
      <c r="B181" s="3">
        <v>45778</v>
      </c>
      <c r="C181" t="s">
        <v>23</v>
      </c>
      <c r="D181" t="str">
        <f>_xlfn.XLOOKUP(TB_Venda[[#This Row],[Código do Produto]],TB_Produto[Código],TB_Produto[Nome do Produto])</f>
        <v>Moletom Unissex</v>
      </c>
      <c r="E181" t="str">
        <f>VLOOKUP(TB_Venda[[#This Row],[Código do Produto]],TB_Produto[],3,FALSE)</f>
        <v>Roupas Unissex</v>
      </c>
      <c r="F181" t="str" cm="1">
        <f t="array" ref="F181">_xlfn.IFS(LEFT(TB_Venda[[#This Row],[Categoria]],5)="Roupa","Roupa",LEFT(TB_Venda[[#This Row],[Categoria]],7)="Calçado","Calçado",1,"Outros")</f>
        <v>Roupa</v>
      </c>
      <c r="G181" t="s">
        <v>73</v>
      </c>
      <c r="H181" s="1">
        <v>5</v>
      </c>
      <c r="I181" s="4">
        <v>204.71850000000001</v>
      </c>
      <c r="J181" t="s">
        <v>92</v>
      </c>
    </row>
    <row r="182" spans="1:10" x14ac:dyDescent="0.25">
      <c r="A182" t="s">
        <v>283</v>
      </c>
      <c r="B182" s="3">
        <v>45675</v>
      </c>
      <c r="C182" t="s">
        <v>21</v>
      </c>
      <c r="D182" t="str">
        <f>_xlfn.XLOOKUP(TB_Venda[[#This Row],[Código do Produto]],TB_Produto[Código],TB_Produto[Nome do Produto])</f>
        <v>Blazer Feminino</v>
      </c>
      <c r="E182" t="str">
        <f>VLOOKUP(TB_Venda[[#This Row],[Código do Produto]],TB_Produto[],3,FALSE)</f>
        <v>Roupas Femininas</v>
      </c>
      <c r="F182" t="str" cm="1">
        <f t="array" ref="F182">_xlfn.IFS(LEFT(TB_Venda[[#This Row],[Categoria]],5)="Roupa","Roupa",LEFT(TB_Venda[[#This Row],[Categoria]],7)="Calçado","Calçado",1,"Outros")</f>
        <v>Roupa</v>
      </c>
      <c r="G182" t="s">
        <v>77</v>
      </c>
      <c r="H182" s="1">
        <v>5</v>
      </c>
      <c r="I182" s="4">
        <v>446.34720000000004</v>
      </c>
      <c r="J182" t="s">
        <v>96</v>
      </c>
    </row>
    <row r="183" spans="1:10" x14ac:dyDescent="0.25">
      <c r="A183" t="s">
        <v>284</v>
      </c>
      <c r="B183" s="3">
        <v>45835</v>
      </c>
      <c r="C183" t="s">
        <v>14</v>
      </c>
      <c r="D183" t="str">
        <f>_xlfn.XLOOKUP(TB_Venda[[#This Row],[Código do Produto]],TB_Produto[Código],TB_Produto[Nome do Produto])</f>
        <v>Camiseta Básica</v>
      </c>
      <c r="E183" t="str">
        <f>VLOOKUP(TB_Venda[[#This Row],[Código do Produto]],TB_Produto[],3,FALSE)</f>
        <v>Roupas Unissex</v>
      </c>
      <c r="F183" t="str" cm="1">
        <f t="array" ref="F183">_xlfn.IFS(LEFT(TB_Venda[[#This Row],[Categoria]],5)="Roupa","Roupa",LEFT(TB_Venda[[#This Row],[Categoria]],7)="Calçado","Calçado",1,"Outros")</f>
        <v>Roupa</v>
      </c>
      <c r="G183" t="s">
        <v>77</v>
      </c>
      <c r="H183" s="1">
        <v>4</v>
      </c>
      <c r="I183" s="4">
        <v>165.27959999999999</v>
      </c>
      <c r="J183" t="s">
        <v>96</v>
      </c>
    </row>
    <row r="184" spans="1:10" x14ac:dyDescent="0.25">
      <c r="A184" t="s">
        <v>285</v>
      </c>
      <c r="B184" s="3">
        <v>45818</v>
      </c>
      <c r="C184" t="s">
        <v>5</v>
      </c>
      <c r="D184" t="str">
        <f>_xlfn.XLOOKUP(TB_Venda[[#This Row],[Código do Produto]],TB_Produto[Código],TB_Produto[Nome do Produto])</f>
        <v>Tênis Esportivo</v>
      </c>
      <c r="E184" t="str">
        <f>VLOOKUP(TB_Venda[[#This Row],[Código do Produto]],TB_Produto[],3,FALSE)</f>
        <v>Calçados</v>
      </c>
      <c r="F184" t="str" cm="1">
        <f t="array" ref="F184">_xlfn.IFS(LEFT(TB_Venda[[#This Row],[Categoria]],5)="Roupa","Roupa",LEFT(TB_Venda[[#This Row],[Categoria]],7)="Calçado","Calçado",1,"Outros")</f>
        <v>Calçado</v>
      </c>
      <c r="G184" t="s">
        <v>72</v>
      </c>
      <c r="H184" s="1">
        <v>3</v>
      </c>
      <c r="I184" s="4">
        <v>443.50080000000003</v>
      </c>
      <c r="J184" t="s">
        <v>92</v>
      </c>
    </row>
    <row r="185" spans="1:10" x14ac:dyDescent="0.25">
      <c r="A185" t="s">
        <v>286</v>
      </c>
      <c r="B185" s="3">
        <v>45701</v>
      </c>
      <c r="C185" t="s">
        <v>26</v>
      </c>
      <c r="D185" t="str">
        <f>_xlfn.XLOOKUP(TB_Venda[[#This Row],[Código do Produto]],TB_Produto[Código],TB_Produto[Nome do Produto])</f>
        <v>Sandália Rasteira</v>
      </c>
      <c r="E185" t="str">
        <f>VLOOKUP(TB_Venda[[#This Row],[Código do Produto]],TB_Produto[],3,FALSE)</f>
        <v>Calçados</v>
      </c>
      <c r="F185" t="str" cm="1">
        <f t="array" ref="F185">_xlfn.IFS(LEFT(TB_Venda[[#This Row],[Categoria]],5)="Roupa","Roupa",LEFT(TB_Venda[[#This Row],[Categoria]],7)="Calçado","Calçado",1,"Outros")</f>
        <v>Calçado</v>
      </c>
      <c r="G185" t="s">
        <v>72</v>
      </c>
      <c r="H185" s="1">
        <v>5</v>
      </c>
      <c r="I185" s="4">
        <v>374.34359999999998</v>
      </c>
      <c r="J185" t="s">
        <v>92</v>
      </c>
    </row>
    <row r="186" spans="1:10" x14ac:dyDescent="0.25">
      <c r="A186" t="s">
        <v>287</v>
      </c>
      <c r="B186" s="3">
        <v>45821</v>
      </c>
      <c r="C186" t="s">
        <v>33</v>
      </c>
      <c r="D186" t="str">
        <f>_xlfn.XLOOKUP(TB_Venda[[#This Row],[Código do Produto]],TB_Produto[Código],TB_Produto[Nome do Produto])</f>
        <v>Camisa de Linho</v>
      </c>
      <c r="E186" t="str">
        <f>VLOOKUP(TB_Venda[[#This Row],[Código do Produto]],TB_Produto[],3,FALSE)</f>
        <v>Roupas Masculinas</v>
      </c>
      <c r="F186" t="str" cm="1">
        <f t="array" ref="F186">_xlfn.IFS(LEFT(TB_Venda[[#This Row],[Categoria]],5)="Roupa","Roupa",LEFT(TB_Venda[[#This Row],[Categoria]],7)="Calçado","Calçado",1,"Outros")</f>
        <v>Roupa</v>
      </c>
      <c r="G186" t="s">
        <v>80</v>
      </c>
      <c r="H186" s="1">
        <v>1</v>
      </c>
      <c r="I186" s="4">
        <v>85.356000000000009</v>
      </c>
      <c r="J186" t="s">
        <v>92</v>
      </c>
    </row>
    <row r="187" spans="1:10" x14ac:dyDescent="0.25">
      <c r="A187" t="s">
        <v>288</v>
      </c>
      <c r="B187" s="3">
        <v>45724</v>
      </c>
      <c r="C187" t="s">
        <v>19</v>
      </c>
      <c r="D187" t="str">
        <f>_xlfn.XLOOKUP(TB_Venda[[#This Row],[Código do Produto]],TB_Produto[Código],TB_Produto[Nome do Produto])</f>
        <v>Macacão</v>
      </c>
      <c r="E187" t="str">
        <f>VLOOKUP(TB_Venda[[#This Row],[Código do Produto]],TB_Produto[],3,FALSE)</f>
        <v>Roupas Femininas</v>
      </c>
      <c r="F187" t="str" cm="1">
        <f t="array" ref="F187">_xlfn.IFS(LEFT(TB_Venda[[#This Row],[Categoria]],5)="Roupa","Roupa",LEFT(TB_Venda[[#This Row],[Categoria]],7)="Calçado","Calçado",1,"Outros")</f>
        <v>Roupa</v>
      </c>
      <c r="G187" t="s">
        <v>73</v>
      </c>
      <c r="H187" s="1">
        <v>5</v>
      </c>
      <c r="I187" s="4">
        <v>146.38140000000001</v>
      </c>
      <c r="J187" t="s">
        <v>92</v>
      </c>
    </row>
    <row r="188" spans="1:10" x14ac:dyDescent="0.25">
      <c r="A188" t="s">
        <v>289</v>
      </c>
      <c r="B188" s="3">
        <v>45787</v>
      </c>
      <c r="C188" t="s">
        <v>20</v>
      </c>
      <c r="D188" t="str">
        <f>_xlfn.XLOOKUP(TB_Venda[[#This Row],[Código do Produto]],TB_Produto[Código],TB_Produto[Nome do Produto])</f>
        <v>Regata Masculina</v>
      </c>
      <c r="E188" t="str">
        <f>VLOOKUP(TB_Venda[[#This Row],[Código do Produto]],TB_Produto[],3,FALSE)</f>
        <v>Roupas Masculinas</v>
      </c>
      <c r="F188" t="str" cm="1">
        <f t="array" ref="F188">_xlfn.IFS(LEFT(TB_Venda[[#This Row],[Categoria]],5)="Roupa","Roupa",LEFT(TB_Venda[[#This Row],[Categoria]],7)="Calçado","Calçado",1,"Outros")</f>
        <v>Roupa</v>
      </c>
      <c r="G188" t="s">
        <v>76</v>
      </c>
      <c r="H188" s="1">
        <v>1</v>
      </c>
      <c r="I188" s="4">
        <v>443.20319999999998</v>
      </c>
      <c r="J188" t="s">
        <v>95</v>
      </c>
    </row>
    <row r="189" spans="1:10" x14ac:dyDescent="0.25">
      <c r="A189" t="s">
        <v>290</v>
      </c>
      <c r="B189" s="3">
        <v>45819</v>
      </c>
      <c r="C189" t="s">
        <v>9</v>
      </c>
      <c r="D189" t="str">
        <f>_xlfn.XLOOKUP(TB_Venda[[#This Row],[Código do Produto]],TB_Produto[Código],TB_Produto[Nome do Produto])</f>
        <v>Vestido Longo</v>
      </c>
      <c r="E189" t="str">
        <f>VLOOKUP(TB_Venda[[#This Row],[Código do Produto]],TB_Produto[],3,FALSE)</f>
        <v>Roupas Femininas</v>
      </c>
      <c r="F189" t="str" cm="1">
        <f t="array" ref="F189">_xlfn.IFS(LEFT(TB_Venda[[#This Row],[Categoria]],5)="Roupa","Roupa",LEFT(TB_Venda[[#This Row],[Categoria]],7)="Calçado","Calçado",1,"Outros")</f>
        <v>Roupa</v>
      </c>
      <c r="G189" t="s">
        <v>79</v>
      </c>
      <c r="H189" s="1">
        <v>3</v>
      </c>
      <c r="I189" s="4">
        <v>75.03240000000001</v>
      </c>
      <c r="J189" t="s">
        <v>96</v>
      </c>
    </row>
    <row r="190" spans="1:10" x14ac:dyDescent="0.25">
      <c r="A190" t="s">
        <v>291</v>
      </c>
      <c r="B190" s="3">
        <v>45752</v>
      </c>
      <c r="C190" t="s">
        <v>23</v>
      </c>
      <c r="D190" t="str">
        <f>_xlfn.XLOOKUP(TB_Venda[[#This Row],[Código do Produto]],TB_Produto[Código],TB_Produto[Nome do Produto])</f>
        <v>Moletom Unissex</v>
      </c>
      <c r="E190" t="str">
        <f>VLOOKUP(TB_Venda[[#This Row],[Código do Produto]],TB_Produto[],3,FALSE)</f>
        <v>Roupas Unissex</v>
      </c>
      <c r="F190" t="str" cm="1">
        <f t="array" ref="F190">_xlfn.IFS(LEFT(TB_Venda[[#This Row],[Categoria]],5)="Roupa","Roupa",LEFT(TB_Venda[[#This Row],[Categoria]],7)="Calçado","Calçado",1,"Outros")</f>
        <v>Roupa</v>
      </c>
      <c r="G190" t="s">
        <v>79</v>
      </c>
      <c r="H190" s="1">
        <v>3</v>
      </c>
      <c r="I190" s="4">
        <v>198.387</v>
      </c>
      <c r="J190" t="s">
        <v>96</v>
      </c>
    </row>
    <row r="191" spans="1:10" x14ac:dyDescent="0.25">
      <c r="A191" t="s">
        <v>292</v>
      </c>
      <c r="B191" s="3">
        <v>45709</v>
      </c>
      <c r="C191" t="s">
        <v>19</v>
      </c>
      <c r="D191" t="str">
        <f>_xlfn.XLOOKUP(TB_Venda[[#This Row],[Código do Produto]],TB_Produto[Código],TB_Produto[Nome do Produto])</f>
        <v>Macacão</v>
      </c>
      <c r="E191" t="str">
        <f>VLOOKUP(TB_Venda[[#This Row],[Código do Produto]],TB_Produto[],3,FALSE)</f>
        <v>Roupas Femininas</v>
      </c>
      <c r="F191" t="str" cm="1">
        <f t="array" ref="F191">_xlfn.IFS(LEFT(TB_Venda[[#This Row],[Categoria]],5)="Roupa","Roupa",LEFT(TB_Venda[[#This Row],[Categoria]],7)="Calçado","Calçado",1,"Outros")</f>
        <v>Roupa</v>
      </c>
      <c r="G191" t="s">
        <v>74</v>
      </c>
      <c r="H191" s="1">
        <v>1</v>
      </c>
      <c r="I191" s="4">
        <v>144.90280000000001</v>
      </c>
      <c r="J191" t="s">
        <v>93</v>
      </c>
    </row>
    <row r="192" spans="1:10" x14ac:dyDescent="0.25">
      <c r="A192" t="s">
        <v>293</v>
      </c>
      <c r="B192" s="3">
        <v>45736</v>
      </c>
      <c r="C192" t="s">
        <v>17</v>
      </c>
      <c r="D192" t="str">
        <f>_xlfn.XLOOKUP(TB_Venda[[#This Row],[Código do Produto]],TB_Produto[Código],TB_Produto[Nome do Produto])</f>
        <v>Tênis Casual</v>
      </c>
      <c r="E192" t="str">
        <f>VLOOKUP(TB_Venda[[#This Row],[Código do Produto]],TB_Produto[],3,FALSE)</f>
        <v>Calçados</v>
      </c>
      <c r="F192" t="str" cm="1">
        <f t="array" ref="F192">_xlfn.IFS(LEFT(TB_Venda[[#This Row],[Categoria]],5)="Roupa","Roupa",LEFT(TB_Venda[[#This Row],[Categoria]],7)="Calçado","Calçado",1,"Outros")</f>
        <v>Calçado</v>
      </c>
      <c r="G192" t="s">
        <v>74</v>
      </c>
      <c r="H192" s="1">
        <v>5</v>
      </c>
      <c r="I192" s="4">
        <v>245.36260000000001</v>
      </c>
      <c r="J192" t="s">
        <v>93</v>
      </c>
    </row>
    <row r="193" spans="1:10" x14ac:dyDescent="0.25">
      <c r="A193" t="s">
        <v>294</v>
      </c>
      <c r="B193" s="3">
        <v>45678</v>
      </c>
      <c r="C193" t="s">
        <v>22</v>
      </c>
      <c r="D193" t="str">
        <f>_xlfn.XLOOKUP(TB_Venda[[#This Row],[Código do Produto]],TB_Produto[Código],TB_Produto[Nome do Produto])</f>
        <v>Mule Feminino</v>
      </c>
      <c r="E193" t="str">
        <f>VLOOKUP(TB_Venda[[#This Row],[Código do Produto]],TB_Produto[],3,FALSE)</f>
        <v>Calçados</v>
      </c>
      <c r="F193" t="str" cm="1">
        <f t="array" ref="F193">_xlfn.IFS(LEFT(TB_Venda[[#This Row],[Categoria]],5)="Roupa","Roupa",LEFT(TB_Venda[[#This Row],[Categoria]],7)="Calçado","Calçado",1,"Outros")</f>
        <v>Calçado</v>
      </c>
      <c r="G193" t="s">
        <v>78</v>
      </c>
      <c r="H193" s="1">
        <v>5</v>
      </c>
      <c r="I193" s="4">
        <v>74.234799999999993</v>
      </c>
      <c r="J193" t="s">
        <v>95</v>
      </c>
    </row>
    <row r="194" spans="1:10" x14ac:dyDescent="0.25">
      <c r="A194" t="s">
        <v>295</v>
      </c>
      <c r="B194" s="3">
        <v>45796</v>
      </c>
      <c r="C194" t="s">
        <v>34</v>
      </c>
      <c r="D194" t="str">
        <f>_xlfn.XLOOKUP(TB_Venda[[#This Row],[Código do Produto]],TB_Produto[Código],TB_Produto[Nome do Produto])</f>
        <v>Vestido Estampado</v>
      </c>
      <c r="E194" t="str">
        <f>VLOOKUP(TB_Venda[[#This Row],[Código do Produto]],TB_Produto[],3,FALSE)</f>
        <v>Roupas Femininas</v>
      </c>
      <c r="F194" t="str" cm="1">
        <f t="array" ref="F194">_xlfn.IFS(LEFT(TB_Venda[[#This Row],[Categoria]],5)="Roupa","Roupa",LEFT(TB_Venda[[#This Row],[Categoria]],7)="Calçado","Calçado",1,"Outros")</f>
        <v>Roupa</v>
      </c>
      <c r="G194" t="s">
        <v>75</v>
      </c>
      <c r="H194" s="1">
        <v>1</v>
      </c>
      <c r="I194" s="4">
        <v>303.5908</v>
      </c>
      <c r="J194" t="s">
        <v>94</v>
      </c>
    </row>
    <row r="195" spans="1:10" x14ac:dyDescent="0.25">
      <c r="A195" t="s">
        <v>296</v>
      </c>
      <c r="B195" s="3">
        <v>45732</v>
      </c>
      <c r="C195" t="s">
        <v>26</v>
      </c>
      <c r="D195" t="str">
        <f>_xlfn.XLOOKUP(TB_Venda[[#This Row],[Código do Produto]],TB_Produto[Código],TB_Produto[Nome do Produto])</f>
        <v>Sandália Rasteira</v>
      </c>
      <c r="E195" t="str">
        <f>VLOOKUP(TB_Venda[[#This Row],[Código do Produto]],TB_Produto[],3,FALSE)</f>
        <v>Calçados</v>
      </c>
      <c r="F195" t="str" cm="1">
        <f t="array" ref="F195">_xlfn.IFS(LEFT(TB_Venda[[#This Row],[Categoria]],5)="Roupa","Roupa",LEFT(TB_Venda[[#This Row],[Categoria]],7)="Calçado","Calçado",1,"Outros")</f>
        <v>Calçado</v>
      </c>
      <c r="G195" t="s">
        <v>73</v>
      </c>
      <c r="H195" s="1">
        <v>1</v>
      </c>
      <c r="I195" s="4">
        <v>386.41919999999999</v>
      </c>
      <c r="J195" t="s">
        <v>92</v>
      </c>
    </row>
    <row r="196" spans="1:10" x14ac:dyDescent="0.25">
      <c r="A196" t="s">
        <v>297</v>
      </c>
      <c r="B196" s="3">
        <v>45698</v>
      </c>
      <c r="C196" t="s">
        <v>22</v>
      </c>
      <c r="D196" t="str">
        <f>_xlfn.XLOOKUP(TB_Venda[[#This Row],[Código do Produto]],TB_Produto[Código],TB_Produto[Nome do Produto])</f>
        <v>Mule Feminino</v>
      </c>
      <c r="E196" t="str">
        <f>VLOOKUP(TB_Venda[[#This Row],[Código do Produto]],TB_Produto[],3,FALSE)</f>
        <v>Calçados</v>
      </c>
      <c r="F196" t="str" cm="1">
        <f t="array" ref="F196">_xlfn.IFS(LEFT(TB_Venda[[#This Row],[Categoria]],5)="Roupa","Roupa",LEFT(TB_Venda[[#This Row],[Categoria]],7)="Calçado","Calçado",1,"Outros")</f>
        <v>Calçado</v>
      </c>
      <c r="G196" t="s">
        <v>74</v>
      </c>
      <c r="H196" s="1">
        <v>2</v>
      </c>
      <c r="I196" s="4">
        <v>72.620999999999995</v>
      </c>
      <c r="J196" t="s">
        <v>93</v>
      </c>
    </row>
    <row r="197" spans="1:10" x14ac:dyDescent="0.25">
      <c r="A197" t="s">
        <v>298</v>
      </c>
      <c r="B197" s="3">
        <v>45825</v>
      </c>
      <c r="C197" t="s">
        <v>9</v>
      </c>
      <c r="D197" t="str">
        <f>_xlfn.XLOOKUP(TB_Venda[[#This Row],[Código do Produto]],TB_Produto[Código],TB_Produto[Nome do Produto])</f>
        <v>Vestido Longo</v>
      </c>
      <c r="E197" t="str">
        <f>VLOOKUP(TB_Venda[[#This Row],[Código do Produto]],TB_Produto[],3,FALSE)</f>
        <v>Roupas Femininas</v>
      </c>
      <c r="F197" t="str" cm="1">
        <f t="array" ref="F197">_xlfn.IFS(LEFT(TB_Venda[[#This Row],[Categoria]],5)="Roupa","Roupa",LEFT(TB_Venda[[#This Row],[Categoria]],7)="Calçado","Calçado",1,"Outros")</f>
        <v>Roupa</v>
      </c>
      <c r="G197" t="s">
        <v>80</v>
      </c>
      <c r="H197" s="1">
        <v>3</v>
      </c>
      <c r="I197" s="4">
        <v>79.873200000000011</v>
      </c>
      <c r="J197" t="s">
        <v>92</v>
      </c>
    </row>
    <row r="198" spans="1:10" x14ac:dyDescent="0.25">
      <c r="A198" t="s">
        <v>299</v>
      </c>
      <c r="B198" s="3">
        <v>45802</v>
      </c>
      <c r="C198" t="s">
        <v>26</v>
      </c>
      <c r="D198" t="str">
        <f>_xlfn.XLOOKUP(TB_Venda[[#This Row],[Código do Produto]],TB_Produto[Código],TB_Produto[Nome do Produto])</f>
        <v>Sandália Rasteira</v>
      </c>
      <c r="E198" t="str">
        <f>VLOOKUP(TB_Venda[[#This Row],[Código do Produto]],TB_Produto[],3,FALSE)</f>
        <v>Calçados</v>
      </c>
      <c r="F198" t="str" cm="1">
        <f t="array" ref="F198">_xlfn.IFS(LEFT(TB_Venda[[#This Row],[Categoria]],5)="Roupa","Roupa",LEFT(TB_Venda[[#This Row],[Categoria]],7)="Calçado","Calçado",1,"Outros")</f>
        <v>Calçado</v>
      </c>
      <c r="G198" t="s">
        <v>74</v>
      </c>
      <c r="H198" s="1">
        <v>2</v>
      </c>
      <c r="I198" s="4">
        <v>394.46959999999996</v>
      </c>
      <c r="J198" t="s">
        <v>93</v>
      </c>
    </row>
    <row r="199" spans="1:10" x14ac:dyDescent="0.25">
      <c r="A199" t="s">
        <v>300</v>
      </c>
      <c r="B199" s="3">
        <v>45771</v>
      </c>
      <c r="C199" t="s">
        <v>27</v>
      </c>
      <c r="D199" t="str">
        <f>_xlfn.XLOOKUP(TB_Venda[[#This Row],[Código do Produto]],TB_Produto[Código],TB_Produto[Nome do Produto])</f>
        <v>Top Fitness</v>
      </c>
      <c r="E199" t="str">
        <f>VLOOKUP(TB_Venda[[#This Row],[Código do Produto]],TB_Produto[],3,FALSE)</f>
        <v>Roupas Femininas</v>
      </c>
      <c r="F199" t="str" cm="1">
        <f t="array" ref="F199">_xlfn.IFS(LEFT(TB_Venda[[#This Row],[Categoria]],5)="Roupa","Roupa",LEFT(TB_Venda[[#This Row],[Categoria]],7)="Calçado","Calçado",1,"Outros")</f>
        <v>Roupa</v>
      </c>
      <c r="G199" t="s">
        <v>80</v>
      </c>
      <c r="H199" s="1">
        <v>4</v>
      </c>
      <c r="I199" s="4">
        <v>79.170899999999989</v>
      </c>
      <c r="J199" t="s">
        <v>92</v>
      </c>
    </row>
    <row r="200" spans="1:10" x14ac:dyDescent="0.25">
      <c r="A200" t="s">
        <v>301</v>
      </c>
      <c r="B200" s="3">
        <v>45770</v>
      </c>
      <c r="C200" t="s">
        <v>6</v>
      </c>
      <c r="D200" t="str">
        <f>_xlfn.XLOOKUP(TB_Venda[[#This Row],[Código do Produto]],TB_Produto[Código],TB_Produto[Nome do Produto])</f>
        <v>Camisa Polo</v>
      </c>
      <c r="E200" t="str">
        <f>VLOOKUP(TB_Venda[[#This Row],[Código do Produto]],TB_Produto[],3,FALSE)</f>
        <v>Camisaria</v>
      </c>
      <c r="F200" t="str" cm="1">
        <f t="array" ref="F200">_xlfn.IFS(LEFT(TB_Venda[[#This Row],[Categoria]],5)="Roupa","Roupa",LEFT(TB_Venda[[#This Row],[Categoria]],7)="Calçado","Calçado",1,"Outros")</f>
        <v>Outros</v>
      </c>
      <c r="G200" t="s">
        <v>77</v>
      </c>
      <c r="H200" s="1">
        <v>5</v>
      </c>
      <c r="I200" s="4">
        <v>251.86259999999999</v>
      </c>
      <c r="J200" t="s">
        <v>96</v>
      </c>
    </row>
    <row r="201" spans="1:10" x14ac:dyDescent="0.25">
      <c r="A201" t="s">
        <v>302</v>
      </c>
      <c r="B201" s="3">
        <v>45681</v>
      </c>
      <c r="C201" t="s">
        <v>8</v>
      </c>
      <c r="D201" t="str">
        <f>_xlfn.XLOOKUP(TB_Venda[[#This Row],[Código do Produto]],TB_Produto[Código],TB_Produto[Nome do Produto])</f>
        <v>Sandália Casual</v>
      </c>
      <c r="E201" t="str">
        <f>VLOOKUP(TB_Venda[[#This Row],[Código do Produto]],TB_Produto[],3,FALSE)</f>
        <v>Calçados</v>
      </c>
      <c r="F201" t="str" cm="1">
        <f t="array" ref="F201">_xlfn.IFS(LEFT(TB_Venda[[#This Row],[Categoria]],5)="Roupa","Roupa",LEFT(TB_Venda[[#This Row],[Categoria]],7)="Calçado","Calçado",1,"Outros")</f>
        <v>Calçado</v>
      </c>
      <c r="G201" t="s">
        <v>79</v>
      </c>
      <c r="H201" s="1">
        <v>4</v>
      </c>
      <c r="I201" s="4">
        <v>378.83699999999999</v>
      </c>
      <c r="J201" t="s">
        <v>96</v>
      </c>
    </row>
    <row r="202" spans="1:10" x14ac:dyDescent="0.25">
      <c r="A202" t="s">
        <v>303</v>
      </c>
      <c r="B202" s="3">
        <v>45745</v>
      </c>
      <c r="C202" t="s">
        <v>20</v>
      </c>
      <c r="D202" t="str">
        <f>_xlfn.XLOOKUP(TB_Venda[[#This Row],[Código do Produto]],TB_Produto[Código],TB_Produto[Nome do Produto])</f>
        <v>Regata Masculina</v>
      </c>
      <c r="E202" t="str">
        <f>VLOOKUP(TB_Venda[[#This Row],[Código do Produto]],TB_Produto[],3,FALSE)</f>
        <v>Roupas Masculinas</v>
      </c>
      <c r="F202" t="str" cm="1">
        <f t="array" ref="F202">_xlfn.IFS(LEFT(TB_Venda[[#This Row],[Categoria]],5)="Roupa","Roupa",LEFT(TB_Venda[[#This Row],[Categoria]],7)="Calçado","Calçado",1,"Outros")</f>
        <v>Roupa</v>
      </c>
      <c r="G202" t="s">
        <v>77</v>
      </c>
      <c r="H202" s="1">
        <v>1</v>
      </c>
      <c r="I202" s="4">
        <v>434.24959999999999</v>
      </c>
      <c r="J202" t="s">
        <v>96</v>
      </c>
    </row>
    <row r="203" spans="1:10" x14ac:dyDescent="0.25">
      <c r="A203" t="s">
        <v>304</v>
      </c>
      <c r="B203" s="3">
        <v>45731</v>
      </c>
      <c r="C203" t="s">
        <v>27</v>
      </c>
      <c r="D203" t="str">
        <f>_xlfn.XLOOKUP(TB_Venda[[#This Row],[Código do Produto]],TB_Produto[Código],TB_Produto[Nome do Produto])</f>
        <v>Top Fitness</v>
      </c>
      <c r="E203" t="str">
        <f>VLOOKUP(TB_Venda[[#This Row],[Código do Produto]],TB_Produto[],3,FALSE)</f>
        <v>Roupas Femininas</v>
      </c>
      <c r="F203" t="str" cm="1">
        <f t="array" ref="F203">_xlfn.IFS(LEFT(TB_Venda[[#This Row],[Categoria]],5)="Roupa","Roupa",LEFT(TB_Venda[[#This Row],[Categoria]],7)="Calçado","Calçado",1,"Outros")</f>
        <v>Roupa</v>
      </c>
      <c r="G203" t="s">
        <v>73</v>
      </c>
      <c r="H203" s="1">
        <v>1</v>
      </c>
      <c r="I203" s="4">
        <v>79.170899999999989</v>
      </c>
      <c r="J203" t="s">
        <v>92</v>
      </c>
    </row>
    <row r="204" spans="1:10" x14ac:dyDescent="0.25">
      <c r="A204" t="s">
        <v>305</v>
      </c>
      <c r="B204" s="3">
        <v>45719</v>
      </c>
      <c r="C204" t="s">
        <v>8</v>
      </c>
      <c r="D204" t="str">
        <f>_xlfn.XLOOKUP(TB_Venda[[#This Row],[Código do Produto]],TB_Produto[Código],TB_Produto[Nome do Produto])</f>
        <v>Sandália Casual</v>
      </c>
      <c r="E204" t="str">
        <f>VLOOKUP(TB_Venda[[#This Row],[Código do Produto]],TB_Produto[],3,FALSE)</f>
        <v>Calçados</v>
      </c>
      <c r="F204" t="str" cm="1">
        <f t="array" ref="F204">_xlfn.IFS(LEFT(TB_Venda[[#This Row],[Categoria]],5)="Roupa","Roupa",LEFT(TB_Venda[[#This Row],[Categoria]],7)="Calçado","Calçado",1,"Outros")</f>
        <v>Calçado</v>
      </c>
      <c r="G204" t="s">
        <v>80</v>
      </c>
      <c r="H204" s="1">
        <v>1</v>
      </c>
      <c r="I204" s="4">
        <v>416.72070000000002</v>
      </c>
      <c r="J204" t="s">
        <v>92</v>
      </c>
    </row>
    <row r="205" spans="1:10" x14ac:dyDescent="0.25">
      <c r="A205" t="s">
        <v>306</v>
      </c>
      <c r="B205" s="3">
        <v>45731</v>
      </c>
      <c r="C205" t="s">
        <v>13</v>
      </c>
      <c r="D205" t="str">
        <f>_xlfn.XLOOKUP(TB_Venda[[#This Row],[Código do Produto]],TB_Produto[Código],TB_Produto[Nome do Produto])</f>
        <v>Saia Midi</v>
      </c>
      <c r="E205" t="str">
        <f>VLOOKUP(TB_Venda[[#This Row],[Código do Produto]],TB_Produto[],3,FALSE)</f>
        <v>Roupas Femininas</v>
      </c>
      <c r="F205" t="str" cm="1">
        <f t="array" ref="F205">_xlfn.IFS(LEFT(TB_Venda[[#This Row],[Categoria]],5)="Roupa","Roupa",LEFT(TB_Venda[[#This Row],[Categoria]],7)="Calçado","Calçado",1,"Outros")</f>
        <v>Roupa</v>
      </c>
      <c r="G205" t="s">
        <v>79</v>
      </c>
      <c r="H205" s="1">
        <v>4</v>
      </c>
      <c r="I205" s="4">
        <v>197.84699999999998</v>
      </c>
      <c r="J205" t="s">
        <v>96</v>
      </c>
    </row>
    <row r="206" spans="1:10" x14ac:dyDescent="0.25">
      <c r="A206" t="s">
        <v>307</v>
      </c>
      <c r="B206" s="3">
        <v>45713</v>
      </c>
      <c r="C206" t="s">
        <v>19</v>
      </c>
      <c r="D206" t="str">
        <f>_xlfn.XLOOKUP(TB_Venda[[#This Row],[Código do Produto]],TB_Produto[Código],TB_Produto[Nome do Produto])</f>
        <v>Macacão</v>
      </c>
      <c r="E206" t="str">
        <f>VLOOKUP(TB_Venda[[#This Row],[Código do Produto]],TB_Produto[],3,FALSE)</f>
        <v>Roupas Femininas</v>
      </c>
      <c r="F206" t="str" cm="1">
        <f t="array" ref="F206">_xlfn.IFS(LEFT(TB_Venda[[#This Row],[Categoria]],5)="Roupa","Roupa",LEFT(TB_Venda[[#This Row],[Categoria]],7)="Calçado","Calçado",1,"Outros")</f>
        <v>Roupa</v>
      </c>
      <c r="G206" t="s">
        <v>72</v>
      </c>
      <c r="H206" s="1">
        <v>2</v>
      </c>
      <c r="I206" s="4">
        <v>138.98840000000001</v>
      </c>
      <c r="J206" t="s">
        <v>92</v>
      </c>
    </row>
    <row r="207" spans="1:10" x14ac:dyDescent="0.25">
      <c r="A207" t="s">
        <v>308</v>
      </c>
      <c r="B207" s="3">
        <v>45661</v>
      </c>
      <c r="C207" t="s">
        <v>10</v>
      </c>
      <c r="D207" t="str">
        <f>_xlfn.XLOOKUP(TB_Venda[[#This Row],[Código do Produto]],TB_Produto[Código],TB_Produto[Nome do Produto])</f>
        <v>Jaqueta Jeans</v>
      </c>
      <c r="E207" t="str">
        <f>VLOOKUP(TB_Venda[[#This Row],[Código do Produto]],TB_Produto[],3,FALSE)</f>
        <v>Roupas Unissex</v>
      </c>
      <c r="F207" t="str" cm="1">
        <f t="array" ref="F207">_xlfn.IFS(LEFT(TB_Venda[[#This Row],[Categoria]],5)="Roupa","Roupa",LEFT(TB_Venda[[#This Row],[Categoria]],7)="Calçado","Calçado",1,"Outros")</f>
        <v>Roupa</v>
      </c>
      <c r="G207" t="s">
        <v>79</v>
      </c>
      <c r="H207" s="1">
        <v>1</v>
      </c>
      <c r="I207" s="4">
        <v>242.96399999999997</v>
      </c>
      <c r="J207" t="s">
        <v>96</v>
      </c>
    </row>
    <row r="208" spans="1:10" x14ac:dyDescent="0.25">
      <c r="A208" t="s">
        <v>309</v>
      </c>
      <c r="B208" s="3">
        <v>45764</v>
      </c>
      <c r="C208" t="s">
        <v>25</v>
      </c>
      <c r="D208" t="str">
        <f>_xlfn.XLOOKUP(TB_Venda[[#This Row],[Código do Produto]],TB_Produto[Código],TB_Produto[Nome do Produto])</f>
        <v>Jaqueta Corta-Vento</v>
      </c>
      <c r="E208" t="str">
        <f>VLOOKUP(TB_Venda[[#This Row],[Código do Produto]],TB_Produto[],3,FALSE)</f>
        <v>Roupas Unissex</v>
      </c>
      <c r="F208" t="str" cm="1">
        <f t="array" ref="F208">_xlfn.IFS(LEFT(TB_Venda[[#This Row],[Categoria]],5)="Roupa","Roupa",LEFT(TB_Venda[[#This Row],[Categoria]],7)="Calçado","Calçado",1,"Outros")</f>
        <v>Roupa</v>
      </c>
      <c r="G208" t="s">
        <v>80</v>
      </c>
      <c r="H208" s="1">
        <v>3</v>
      </c>
      <c r="I208" s="4">
        <v>144.69759999999999</v>
      </c>
      <c r="J208" t="s">
        <v>92</v>
      </c>
    </row>
    <row r="209" spans="1:10" x14ac:dyDescent="0.25">
      <c r="A209" t="s">
        <v>310</v>
      </c>
      <c r="B209" s="3">
        <v>45740</v>
      </c>
      <c r="C209" t="s">
        <v>31</v>
      </c>
      <c r="D209" t="str">
        <f>_xlfn.XLOOKUP(TB_Venda[[#This Row],[Código do Produto]],TB_Produto[Código],TB_Produto[Nome do Produto])</f>
        <v>Sapato Social</v>
      </c>
      <c r="E209" t="str">
        <f>VLOOKUP(TB_Venda[[#This Row],[Código do Produto]],TB_Produto[],3,FALSE)</f>
        <v>Calçados</v>
      </c>
      <c r="F209" t="str" cm="1">
        <f t="array" ref="F209">_xlfn.IFS(LEFT(TB_Venda[[#This Row],[Categoria]],5)="Roupa","Roupa",LEFT(TB_Venda[[#This Row],[Categoria]],7)="Calçado","Calçado",1,"Outros")</f>
        <v>Calçado</v>
      </c>
      <c r="G209" t="s">
        <v>72</v>
      </c>
      <c r="H209" s="1">
        <v>1</v>
      </c>
      <c r="I209" s="4">
        <v>279.72140000000002</v>
      </c>
      <c r="J209" t="s">
        <v>92</v>
      </c>
    </row>
    <row r="210" spans="1:10" x14ac:dyDescent="0.25">
      <c r="A210" t="s">
        <v>311</v>
      </c>
      <c r="B210" s="3">
        <v>45836</v>
      </c>
      <c r="C210" t="s">
        <v>18</v>
      </c>
      <c r="D210" t="str">
        <f>_xlfn.XLOOKUP(TB_Venda[[#This Row],[Código do Produto]],TB_Produto[Código],TB_Produto[Nome do Produto])</f>
        <v>Camisa Social</v>
      </c>
      <c r="E210" t="str">
        <f>VLOOKUP(TB_Venda[[#This Row],[Código do Produto]],TB_Produto[],3,FALSE)</f>
        <v>Roupas Masculinas</v>
      </c>
      <c r="F210" t="str" cm="1">
        <f t="array" ref="F210">_xlfn.IFS(LEFT(TB_Venda[[#This Row],[Categoria]],5)="Roupa","Roupa",LEFT(TB_Venda[[#This Row],[Categoria]],7)="Calçado","Calçado",1,"Outros")</f>
        <v>Roupa</v>
      </c>
      <c r="G210" t="s">
        <v>72</v>
      </c>
      <c r="H210" s="1">
        <v>3</v>
      </c>
      <c r="I210" s="4">
        <v>416.53919999999999</v>
      </c>
      <c r="J210" t="s">
        <v>92</v>
      </c>
    </row>
    <row r="211" spans="1:10" x14ac:dyDescent="0.25">
      <c r="A211" t="s">
        <v>312</v>
      </c>
      <c r="B211" s="3">
        <v>45829</v>
      </c>
      <c r="C211" t="s">
        <v>32</v>
      </c>
      <c r="D211" t="str">
        <f>_xlfn.XLOOKUP(TB_Venda[[#This Row],[Código do Produto]],TB_Produto[Código],TB_Produto[Nome do Produto])</f>
        <v>Chinelo Slide</v>
      </c>
      <c r="E211" t="str">
        <f>VLOOKUP(TB_Venda[[#This Row],[Código do Produto]],TB_Produto[],3,FALSE)</f>
        <v>Calçados</v>
      </c>
      <c r="F211" t="str" cm="1">
        <f t="array" ref="F211">_xlfn.IFS(LEFT(TB_Venda[[#This Row],[Categoria]],5)="Roupa","Roupa",LEFT(TB_Venda[[#This Row],[Categoria]],7)="Calçado","Calçado",1,"Outros")</f>
        <v>Calçado</v>
      </c>
      <c r="G211" t="s">
        <v>81</v>
      </c>
      <c r="H211" s="1">
        <v>4</v>
      </c>
      <c r="I211" s="4">
        <v>146.756</v>
      </c>
      <c r="J211" t="s">
        <v>96</v>
      </c>
    </row>
    <row r="212" spans="1:10" x14ac:dyDescent="0.25">
      <c r="A212" t="s">
        <v>313</v>
      </c>
      <c r="B212" s="3">
        <v>45774</v>
      </c>
      <c r="C212" t="s">
        <v>15</v>
      </c>
      <c r="D212" t="str">
        <f>_xlfn.XLOOKUP(TB_Venda[[#This Row],[Código do Produto]],TB_Produto[Código],TB_Produto[Nome do Produto])</f>
        <v>Bota Feminina</v>
      </c>
      <c r="E212" t="str">
        <f>VLOOKUP(TB_Venda[[#This Row],[Código do Produto]],TB_Produto[],3,FALSE)</f>
        <v>Calçados</v>
      </c>
      <c r="F212" t="str" cm="1">
        <f t="array" ref="F212">_xlfn.IFS(LEFT(TB_Venda[[#This Row],[Categoria]],5)="Roupa","Roupa",LEFT(TB_Venda[[#This Row],[Categoria]],7)="Calçado","Calçado",1,"Outros")</f>
        <v>Calçado</v>
      </c>
      <c r="G212" t="s">
        <v>77</v>
      </c>
      <c r="H212" s="1">
        <v>5</v>
      </c>
      <c r="I212" s="4">
        <v>474.43200000000002</v>
      </c>
      <c r="J212" t="s">
        <v>96</v>
      </c>
    </row>
    <row r="213" spans="1:10" x14ac:dyDescent="0.25">
      <c r="A213" t="s">
        <v>314</v>
      </c>
      <c r="B213" s="3">
        <v>45739</v>
      </c>
      <c r="C213" t="s">
        <v>26</v>
      </c>
      <c r="D213" t="str">
        <f>_xlfn.XLOOKUP(TB_Venda[[#This Row],[Código do Produto]],TB_Produto[Código],TB_Produto[Nome do Produto])</f>
        <v>Sandália Rasteira</v>
      </c>
      <c r="E213" t="str">
        <f>VLOOKUP(TB_Venda[[#This Row],[Código do Produto]],TB_Produto[],3,FALSE)</f>
        <v>Calçados</v>
      </c>
      <c r="F213" t="str" cm="1">
        <f t="array" ref="F213">_xlfn.IFS(LEFT(TB_Venda[[#This Row],[Categoria]],5)="Roupa","Roupa",LEFT(TB_Venda[[#This Row],[Categoria]],7)="Calçado","Calçado",1,"Outros")</f>
        <v>Calçado</v>
      </c>
      <c r="G213" t="s">
        <v>80</v>
      </c>
      <c r="H213" s="1">
        <v>5</v>
      </c>
      <c r="I213" s="4">
        <v>390.44439999999997</v>
      </c>
      <c r="J213" t="s">
        <v>92</v>
      </c>
    </row>
    <row r="214" spans="1:10" x14ac:dyDescent="0.25">
      <c r="A214" t="s">
        <v>315</v>
      </c>
      <c r="B214" s="3">
        <v>45694</v>
      </c>
      <c r="C214" t="s">
        <v>22</v>
      </c>
      <c r="D214" t="str">
        <f>_xlfn.XLOOKUP(TB_Venda[[#This Row],[Código do Produto]],TB_Produto[Código],TB_Produto[Nome do Produto])</f>
        <v>Mule Feminino</v>
      </c>
      <c r="E214" t="str">
        <f>VLOOKUP(TB_Venda[[#This Row],[Código do Produto]],TB_Produto[],3,FALSE)</f>
        <v>Calçados</v>
      </c>
      <c r="F214" t="str" cm="1">
        <f t="array" ref="F214">_xlfn.IFS(LEFT(TB_Venda[[#This Row],[Categoria]],5)="Roupa","Roupa",LEFT(TB_Venda[[#This Row],[Categoria]],7)="Calçado","Calçado",1,"Outros")</f>
        <v>Calçado</v>
      </c>
      <c r="G214" t="s">
        <v>72</v>
      </c>
      <c r="H214" s="1">
        <v>2</v>
      </c>
      <c r="I214" s="4">
        <v>74.234799999999993</v>
      </c>
      <c r="J214" t="s">
        <v>92</v>
      </c>
    </row>
    <row r="215" spans="1:10" x14ac:dyDescent="0.25">
      <c r="A215" t="s">
        <v>316</v>
      </c>
      <c r="B215" s="3">
        <v>45816</v>
      </c>
      <c r="C215" t="s">
        <v>9</v>
      </c>
      <c r="D215" t="str">
        <f>_xlfn.XLOOKUP(TB_Venda[[#This Row],[Código do Produto]],TB_Produto[Código],TB_Produto[Nome do Produto])</f>
        <v>Vestido Longo</v>
      </c>
      <c r="E215" t="str">
        <f>VLOOKUP(TB_Venda[[#This Row],[Código do Produto]],TB_Produto[],3,FALSE)</f>
        <v>Roupas Femininas</v>
      </c>
      <c r="F215" t="str" cm="1">
        <f t="array" ref="F215">_xlfn.IFS(LEFT(TB_Venda[[#This Row],[Categoria]],5)="Roupa","Roupa",LEFT(TB_Venda[[#This Row],[Categoria]],7)="Calçado","Calçado",1,"Outros")</f>
        <v>Roupa</v>
      </c>
      <c r="G215" t="s">
        <v>72</v>
      </c>
      <c r="H215" s="1">
        <v>2</v>
      </c>
      <c r="I215" s="4">
        <v>75.839200000000005</v>
      </c>
      <c r="J215" t="s">
        <v>92</v>
      </c>
    </row>
    <row r="216" spans="1:10" x14ac:dyDescent="0.25">
      <c r="A216" t="s">
        <v>317</v>
      </c>
      <c r="B216" s="3">
        <v>45798</v>
      </c>
      <c r="C216" t="s">
        <v>29</v>
      </c>
      <c r="D216" t="str">
        <f>_xlfn.XLOOKUP(TB_Venda[[#This Row],[Código do Produto]],TB_Produto[Código],TB_Produto[Nome do Produto])</f>
        <v>Camisa de Time</v>
      </c>
      <c r="E216" t="str">
        <f>VLOOKUP(TB_Venda[[#This Row],[Código do Produto]],TB_Produto[],3,FALSE)</f>
        <v>Roupas Masculinas</v>
      </c>
      <c r="F216" t="str" cm="1">
        <f t="array" ref="F216">_xlfn.IFS(LEFT(TB_Venda[[#This Row],[Categoria]],5)="Roupa","Roupa",LEFT(TB_Venda[[#This Row],[Categoria]],7)="Calçado","Calçado",1,"Outros")</f>
        <v>Roupa</v>
      </c>
      <c r="G216" t="s">
        <v>80</v>
      </c>
      <c r="H216" s="1">
        <v>1</v>
      </c>
      <c r="I216" s="4">
        <v>207.29949999999999</v>
      </c>
      <c r="J216" t="s">
        <v>92</v>
      </c>
    </row>
    <row r="217" spans="1:10" x14ac:dyDescent="0.25">
      <c r="A217" t="s">
        <v>318</v>
      </c>
      <c r="B217" s="3">
        <v>45803</v>
      </c>
      <c r="C217" t="s">
        <v>8</v>
      </c>
      <c r="D217" t="str">
        <f>_xlfn.XLOOKUP(TB_Venda[[#This Row],[Código do Produto]],TB_Produto[Código],TB_Produto[Nome do Produto])</f>
        <v>Sandália Casual</v>
      </c>
      <c r="E217" t="str">
        <f>VLOOKUP(TB_Venda[[#This Row],[Código do Produto]],TB_Produto[],3,FALSE)</f>
        <v>Calçados</v>
      </c>
      <c r="F217" t="str" cm="1">
        <f t="array" ref="F217">_xlfn.IFS(LEFT(TB_Venda[[#This Row],[Categoria]],5)="Roupa","Roupa",LEFT(TB_Venda[[#This Row],[Categoria]],7)="Calçado","Calçado",1,"Outros")</f>
        <v>Calçado</v>
      </c>
      <c r="G217" t="s">
        <v>72</v>
      </c>
      <c r="H217" s="1">
        <v>4</v>
      </c>
      <c r="I217" s="4">
        <v>412.51139999999998</v>
      </c>
      <c r="J217" t="s">
        <v>92</v>
      </c>
    </row>
    <row r="218" spans="1:10" x14ac:dyDescent="0.25">
      <c r="A218" t="s">
        <v>319</v>
      </c>
      <c r="B218" s="3">
        <v>45787</v>
      </c>
      <c r="C218" t="s">
        <v>28</v>
      </c>
      <c r="D218" t="str">
        <f>_xlfn.XLOOKUP(TB_Venda[[#This Row],[Código do Produto]],TB_Produto[Código],TB_Produto[Nome do Produto])</f>
        <v>Legging Esportiva</v>
      </c>
      <c r="E218" t="str">
        <f>VLOOKUP(TB_Venda[[#This Row],[Código do Produto]],TB_Produto[],3,FALSE)</f>
        <v>Roupas Femininas</v>
      </c>
      <c r="F218" t="str" cm="1">
        <f t="array" ref="F218">_xlfn.IFS(LEFT(TB_Venda[[#This Row],[Categoria]],5)="Roupa","Roupa",LEFT(TB_Venda[[#This Row],[Categoria]],7)="Calçado","Calçado",1,"Outros")</f>
        <v>Roupa</v>
      </c>
      <c r="G218" t="s">
        <v>78</v>
      </c>
      <c r="H218" s="1">
        <v>4</v>
      </c>
      <c r="I218" s="4">
        <v>329.12099999999998</v>
      </c>
      <c r="J218" t="s">
        <v>95</v>
      </c>
    </row>
    <row r="219" spans="1:10" x14ac:dyDescent="0.25">
      <c r="A219" t="s">
        <v>320</v>
      </c>
      <c r="B219" s="3">
        <v>45784</v>
      </c>
      <c r="C219" t="s">
        <v>23</v>
      </c>
      <c r="D219" t="str">
        <f>_xlfn.XLOOKUP(TB_Venda[[#This Row],[Código do Produto]],TB_Produto[Código],TB_Produto[Nome do Produto])</f>
        <v>Moletom Unissex</v>
      </c>
      <c r="E219" t="str">
        <f>VLOOKUP(TB_Venda[[#This Row],[Código do Produto]],TB_Produto[],3,FALSE)</f>
        <v>Roupas Unissex</v>
      </c>
      <c r="F219" t="str" cm="1">
        <f t="array" ref="F219">_xlfn.IFS(LEFT(TB_Venda[[#This Row],[Categoria]],5)="Roupa","Roupa",LEFT(TB_Venda[[#This Row],[Categoria]],7)="Calçado","Calçado",1,"Outros")</f>
        <v>Roupa</v>
      </c>
      <c r="G219" t="s">
        <v>80</v>
      </c>
      <c r="H219" s="1">
        <v>4</v>
      </c>
      <c r="I219" s="4">
        <v>198.387</v>
      </c>
      <c r="J219" t="s">
        <v>92</v>
      </c>
    </row>
    <row r="220" spans="1:10" x14ac:dyDescent="0.25">
      <c r="A220" t="s">
        <v>321</v>
      </c>
      <c r="B220" s="3">
        <v>45745</v>
      </c>
      <c r="C220" t="s">
        <v>29</v>
      </c>
      <c r="D220" t="str">
        <f>_xlfn.XLOOKUP(TB_Venda[[#This Row],[Código do Produto]],TB_Produto[Código],TB_Produto[Nome do Produto])</f>
        <v>Camisa de Time</v>
      </c>
      <c r="E220" t="str">
        <f>VLOOKUP(TB_Venda[[#This Row],[Código do Produto]],TB_Produto[],3,FALSE)</f>
        <v>Roupas Masculinas</v>
      </c>
      <c r="F220" t="str" cm="1">
        <f t="array" ref="F220">_xlfn.IFS(LEFT(TB_Venda[[#This Row],[Categoria]],5)="Roupa","Roupa",LEFT(TB_Venda[[#This Row],[Categoria]],7)="Calçado","Calçado",1,"Outros")</f>
        <v>Roupa</v>
      </c>
      <c r="G220" t="s">
        <v>76</v>
      </c>
      <c r="H220" s="1">
        <v>5</v>
      </c>
      <c r="I220" s="4">
        <v>216.02790000000002</v>
      </c>
      <c r="J220" t="s">
        <v>95</v>
      </c>
    </row>
    <row r="221" spans="1:10" x14ac:dyDescent="0.25">
      <c r="A221" t="s">
        <v>322</v>
      </c>
      <c r="B221" s="3">
        <v>45715</v>
      </c>
      <c r="C221" t="s">
        <v>21</v>
      </c>
      <c r="D221" t="str">
        <f>_xlfn.XLOOKUP(TB_Venda[[#This Row],[Código do Produto]],TB_Produto[Código],TB_Produto[Nome do Produto])</f>
        <v>Blazer Feminino</v>
      </c>
      <c r="E221" t="str">
        <f>VLOOKUP(TB_Venda[[#This Row],[Código do Produto]],TB_Produto[],3,FALSE)</f>
        <v>Roupas Femininas</v>
      </c>
      <c r="F221" t="str" cm="1">
        <f t="array" ref="F221">_xlfn.IFS(LEFT(TB_Venda[[#This Row],[Categoria]],5)="Roupa","Roupa",LEFT(TB_Venda[[#This Row],[Categoria]],7)="Calçado","Calçado",1,"Outros")</f>
        <v>Roupa</v>
      </c>
      <c r="G221" t="s">
        <v>74</v>
      </c>
      <c r="H221" s="1">
        <v>4</v>
      </c>
      <c r="I221" s="4">
        <v>465.75360000000001</v>
      </c>
      <c r="J221" t="s">
        <v>93</v>
      </c>
    </row>
    <row r="222" spans="1:10" x14ac:dyDescent="0.25">
      <c r="A222" t="s">
        <v>323</v>
      </c>
      <c r="B222" s="3">
        <v>45777</v>
      </c>
      <c r="C222" t="s">
        <v>22</v>
      </c>
      <c r="D222" t="str">
        <f>_xlfn.XLOOKUP(TB_Venda[[#This Row],[Código do Produto]],TB_Produto[Código],TB_Produto[Nome do Produto])</f>
        <v>Mule Feminino</v>
      </c>
      <c r="E222" t="str">
        <f>VLOOKUP(TB_Venda[[#This Row],[Código do Produto]],TB_Produto[],3,FALSE)</f>
        <v>Calçados</v>
      </c>
      <c r="F222" t="str" cm="1">
        <f t="array" ref="F222">_xlfn.IFS(LEFT(TB_Venda[[#This Row],[Categoria]],5)="Roupa","Roupa",LEFT(TB_Venda[[#This Row],[Categoria]],7)="Calçado","Calçado",1,"Outros")</f>
        <v>Calçado</v>
      </c>
      <c r="G222" t="s">
        <v>74</v>
      </c>
      <c r="H222" s="1">
        <v>2</v>
      </c>
      <c r="I222" s="4">
        <v>78.269300000000001</v>
      </c>
      <c r="J222" t="s">
        <v>93</v>
      </c>
    </row>
    <row r="223" spans="1:10" x14ac:dyDescent="0.25">
      <c r="A223" t="s">
        <v>324</v>
      </c>
      <c r="B223" s="3">
        <v>45791</v>
      </c>
      <c r="C223" t="s">
        <v>8</v>
      </c>
      <c r="D223" t="str">
        <f>_xlfn.XLOOKUP(TB_Venda[[#This Row],[Código do Produto]],TB_Produto[Código],TB_Produto[Nome do Produto])</f>
        <v>Sandália Casual</v>
      </c>
      <c r="E223" t="str">
        <f>VLOOKUP(TB_Venda[[#This Row],[Código do Produto]],TB_Produto[],3,FALSE)</f>
        <v>Calçados</v>
      </c>
      <c r="F223" t="str" cm="1">
        <f t="array" ref="F223">_xlfn.IFS(LEFT(TB_Venda[[#This Row],[Categoria]],5)="Roupa","Roupa",LEFT(TB_Venda[[#This Row],[Categoria]],7)="Calçado","Calçado",1,"Outros")</f>
        <v>Calçado</v>
      </c>
      <c r="G223" t="s">
        <v>79</v>
      </c>
      <c r="H223" s="1">
        <v>4</v>
      </c>
      <c r="I223" s="4">
        <v>399.88350000000003</v>
      </c>
      <c r="J223" t="s">
        <v>96</v>
      </c>
    </row>
    <row r="224" spans="1:10" x14ac:dyDescent="0.25">
      <c r="A224" t="s">
        <v>325</v>
      </c>
      <c r="B224" s="3">
        <v>45660</v>
      </c>
      <c r="C224" t="s">
        <v>34</v>
      </c>
      <c r="D224" t="str">
        <f>_xlfn.XLOOKUP(TB_Venda[[#This Row],[Código do Produto]],TB_Produto[Código],TB_Produto[Nome do Produto])</f>
        <v>Vestido Estampado</v>
      </c>
      <c r="E224" t="str">
        <f>VLOOKUP(TB_Venda[[#This Row],[Código do Produto]],TB_Produto[],3,FALSE)</f>
        <v>Roupas Femininas</v>
      </c>
      <c r="F224" t="str" cm="1">
        <f t="array" ref="F224">_xlfn.IFS(LEFT(TB_Venda[[#This Row],[Categoria]],5)="Roupa","Roupa",LEFT(TB_Venda[[#This Row],[Categoria]],7)="Calçado","Calçado",1,"Outros")</f>
        <v>Roupa</v>
      </c>
      <c r="G224" t="s">
        <v>77</v>
      </c>
      <c r="H224" s="1">
        <v>3</v>
      </c>
      <c r="I224" s="4">
        <v>300.29090000000002</v>
      </c>
      <c r="J224" t="s">
        <v>96</v>
      </c>
    </row>
    <row r="225" spans="1:10" x14ac:dyDescent="0.25">
      <c r="A225" t="s">
        <v>326</v>
      </c>
      <c r="B225" s="3">
        <v>45826</v>
      </c>
      <c r="C225" t="s">
        <v>20</v>
      </c>
      <c r="D225" t="str">
        <f>_xlfn.XLOOKUP(TB_Venda[[#This Row],[Código do Produto]],TB_Produto[Código],TB_Produto[Nome do Produto])</f>
        <v>Regata Masculina</v>
      </c>
      <c r="E225" t="str">
        <f>VLOOKUP(TB_Venda[[#This Row],[Código do Produto]],TB_Produto[],3,FALSE)</f>
        <v>Roupas Masculinas</v>
      </c>
      <c r="F225" t="str" cm="1">
        <f t="array" ref="F225">_xlfn.IFS(LEFT(TB_Venda[[#This Row],[Categoria]],5)="Roupa","Roupa",LEFT(TB_Venda[[#This Row],[Categoria]],7)="Calçado","Calçado",1,"Outros")</f>
        <v>Roupa</v>
      </c>
      <c r="G225" t="s">
        <v>74</v>
      </c>
      <c r="H225" s="1">
        <v>1</v>
      </c>
      <c r="I225" s="4">
        <v>402.91200000000003</v>
      </c>
      <c r="J225" t="s">
        <v>93</v>
      </c>
    </row>
    <row r="226" spans="1:10" x14ac:dyDescent="0.25">
      <c r="A226" t="s">
        <v>327</v>
      </c>
      <c r="B226" s="3">
        <v>45671</v>
      </c>
      <c r="C226" t="s">
        <v>33</v>
      </c>
      <c r="D226" t="str">
        <f>_xlfn.XLOOKUP(TB_Venda[[#This Row],[Código do Produto]],TB_Produto[Código],TB_Produto[Nome do Produto])</f>
        <v>Camisa de Linho</v>
      </c>
      <c r="E226" t="str">
        <f>VLOOKUP(TB_Venda[[#This Row],[Código do Produto]],TB_Produto[],3,FALSE)</f>
        <v>Roupas Masculinas</v>
      </c>
      <c r="F226" t="str" cm="1">
        <f t="array" ref="F226">_xlfn.IFS(LEFT(TB_Venda[[#This Row],[Categoria]],5)="Roupa","Roupa",LEFT(TB_Venda[[#This Row],[Categoria]],7)="Calçado","Calçado",1,"Outros")</f>
        <v>Roupa</v>
      </c>
      <c r="G226" t="s">
        <v>79</v>
      </c>
      <c r="H226" s="1">
        <v>5</v>
      </c>
      <c r="I226" s="4">
        <v>91.046400000000006</v>
      </c>
      <c r="J226" t="s">
        <v>96</v>
      </c>
    </row>
    <row r="227" spans="1:10" x14ac:dyDescent="0.25">
      <c r="A227" t="s">
        <v>328</v>
      </c>
      <c r="B227" s="3">
        <v>45827</v>
      </c>
      <c r="C227" t="s">
        <v>21</v>
      </c>
      <c r="D227" t="str">
        <f>_xlfn.XLOOKUP(TB_Venda[[#This Row],[Código do Produto]],TB_Produto[Código],TB_Produto[Nome do Produto])</f>
        <v>Blazer Feminino</v>
      </c>
      <c r="E227" t="str">
        <f>VLOOKUP(TB_Venda[[#This Row],[Código do Produto]],TB_Produto[],3,FALSE)</f>
        <v>Roupas Femininas</v>
      </c>
      <c r="F227" t="str" cm="1">
        <f t="array" ref="F227">_xlfn.IFS(LEFT(TB_Venda[[#This Row],[Categoria]],5)="Roupa","Roupa",LEFT(TB_Venda[[#This Row],[Categoria]],7)="Calçado","Calçado",1,"Outros")</f>
        <v>Roupa</v>
      </c>
      <c r="G227" t="s">
        <v>73</v>
      </c>
      <c r="H227" s="1">
        <v>4</v>
      </c>
      <c r="I227" s="4">
        <v>465.75360000000001</v>
      </c>
      <c r="J227" t="s">
        <v>92</v>
      </c>
    </row>
    <row r="228" spans="1:10" x14ac:dyDescent="0.25">
      <c r="A228" t="s">
        <v>329</v>
      </c>
      <c r="B228" s="3">
        <v>45732</v>
      </c>
      <c r="C228" t="s">
        <v>25</v>
      </c>
      <c r="D228" t="str">
        <f>_xlfn.XLOOKUP(TB_Venda[[#This Row],[Código do Produto]],TB_Produto[Código],TB_Produto[Nome do Produto])</f>
        <v>Jaqueta Corta-Vento</v>
      </c>
      <c r="E228" t="str">
        <f>VLOOKUP(TB_Venda[[#This Row],[Código do Produto]],TB_Produto[],3,FALSE)</f>
        <v>Roupas Unissex</v>
      </c>
      <c r="F228" t="str" cm="1">
        <f t="array" ref="F228">_xlfn.IFS(LEFT(TB_Venda[[#This Row],[Categoria]],5)="Roupa","Roupa",LEFT(TB_Venda[[#This Row],[Categoria]],7)="Calçado","Calçado",1,"Outros")</f>
        <v>Roupa</v>
      </c>
      <c r="G228" t="s">
        <v>81</v>
      </c>
      <c r="H228" s="1">
        <v>2</v>
      </c>
      <c r="I228" s="4">
        <v>154.1344</v>
      </c>
      <c r="J228" t="s">
        <v>96</v>
      </c>
    </row>
    <row r="229" spans="1:10" x14ac:dyDescent="0.25">
      <c r="A229" t="s">
        <v>330</v>
      </c>
      <c r="B229" s="3">
        <v>45830</v>
      </c>
      <c r="C229" t="s">
        <v>31</v>
      </c>
      <c r="D229" t="str">
        <f>_xlfn.XLOOKUP(TB_Venda[[#This Row],[Código do Produto]],TB_Produto[Código],TB_Produto[Nome do Produto])</f>
        <v>Sapato Social</v>
      </c>
      <c r="E229" t="str">
        <f>VLOOKUP(TB_Venda[[#This Row],[Código do Produto]],TB_Produto[],3,FALSE)</f>
        <v>Calçados</v>
      </c>
      <c r="F229" t="str" cm="1">
        <f t="array" ref="F229">_xlfn.IFS(LEFT(TB_Venda[[#This Row],[Categoria]],5)="Roupa","Roupa",LEFT(TB_Venda[[#This Row],[Categoria]],7)="Calçado","Calçado",1,"Outros")</f>
        <v>Calçado</v>
      </c>
      <c r="G229" t="s">
        <v>80</v>
      </c>
      <c r="H229" s="1">
        <v>5</v>
      </c>
      <c r="I229" s="4">
        <v>265.44990000000001</v>
      </c>
      <c r="J229" t="s">
        <v>92</v>
      </c>
    </row>
    <row r="230" spans="1:10" x14ac:dyDescent="0.25">
      <c r="A230" t="s">
        <v>331</v>
      </c>
      <c r="B230" s="3">
        <v>45707</v>
      </c>
      <c r="C230" t="s">
        <v>18</v>
      </c>
      <c r="D230" t="str">
        <f>_xlfn.XLOOKUP(TB_Venda[[#This Row],[Código do Produto]],TB_Produto[Código],TB_Produto[Nome do Produto])</f>
        <v>Camisa Social</v>
      </c>
      <c r="E230" t="str">
        <f>VLOOKUP(TB_Venda[[#This Row],[Código do Produto]],TB_Produto[],3,FALSE)</f>
        <v>Roupas Masculinas</v>
      </c>
      <c r="F230" t="str" cm="1">
        <f t="array" ref="F230">_xlfn.IFS(LEFT(TB_Venda[[#This Row],[Categoria]],5)="Roupa","Roupa",LEFT(TB_Venda[[#This Row],[Categoria]],7)="Calçado","Calçado",1,"Outros")</f>
        <v>Roupa</v>
      </c>
      <c r="G230" t="s">
        <v>78</v>
      </c>
      <c r="H230" s="1">
        <v>4</v>
      </c>
      <c r="I230" s="4">
        <v>386.78640000000001</v>
      </c>
      <c r="J230" t="s">
        <v>95</v>
      </c>
    </row>
    <row r="231" spans="1:10" x14ac:dyDescent="0.25">
      <c r="A231" t="s">
        <v>332</v>
      </c>
      <c r="B231" s="3">
        <v>45743</v>
      </c>
      <c r="C231" t="s">
        <v>26</v>
      </c>
      <c r="D231" t="str">
        <f>_xlfn.XLOOKUP(TB_Venda[[#This Row],[Código do Produto]],TB_Produto[Código],TB_Produto[Nome do Produto])</f>
        <v>Sandália Rasteira</v>
      </c>
      <c r="E231" t="str">
        <f>VLOOKUP(TB_Venda[[#This Row],[Código do Produto]],TB_Produto[],3,FALSE)</f>
        <v>Calçados</v>
      </c>
      <c r="F231" t="str" cm="1">
        <f t="array" ref="F231">_xlfn.IFS(LEFT(TB_Venda[[#This Row],[Categoria]],5)="Roupa","Roupa",LEFT(TB_Venda[[#This Row],[Categoria]],7)="Calçado","Calçado",1,"Outros")</f>
        <v>Calçado</v>
      </c>
      <c r="G231" t="s">
        <v>78</v>
      </c>
      <c r="H231" s="1">
        <v>2</v>
      </c>
      <c r="I231" s="4">
        <v>386.41919999999999</v>
      </c>
      <c r="J231" t="s">
        <v>95</v>
      </c>
    </row>
    <row r="232" spans="1:10" x14ac:dyDescent="0.25">
      <c r="A232" t="s">
        <v>333</v>
      </c>
      <c r="B232" s="3">
        <v>45686</v>
      </c>
      <c r="C232" t="s">
        <v>16</v>
      </c>
      <c r="D232" t="str">
        <f>_xlfn.XLOOKUP(TB_Venda[[#This Row],[Código do Produto]],TB_Produto[Código],TB_Produto[Nome do Produto])</f>
        <v>Shorts Jeans</v>
      </c>
      <c r="E232" t="str">
        <f>VLOOKUP(TB_Venda[[#This Row],[Código do Produto]],TB_Produto[],3,FALSE)</f>
        <v>Roupas Femininas</v>
      </c>
      <c r="F232" t="str" cm="1">
        <f t="array" ref="F232">_xlfn.IFS(LEFT(TB_Venda[[#This Row],[Categoria]],5)="Roupa","Roupa",LEFT(TB_Venda[[#This Row],[Categoria]],7)="Calçado","Calçado",1,"Outros")</f>
        <v>Roupa</v>
      </c>
      <c r="G232" t="s">
        <v>78</v>
      </c>
      <c r="H232" s="1">
        <v>4</v>
      </c>
      <c r="I232" s="4">
        <v>214.1472</v>
      </c>
      <c r="J232" t="s">
        <v>95</v>
      </c>
    </row>
    <row r="233" spans="1:10" x14ac:dyDescent="0.25">
      <c r="A233" t="s">
        <v>334</v>
      </c>
      <c r="B233" s="3">
        <v>45752</v>
      </c>
      <c r="C233" t="s">
        <v>31</v>
      </c>
      <c r="D233" t="str">
        <f>_xlfn.XLOOKUP(TB_Venda[[#This Row],[Código do Produto]],TB_Produto[Código],TB_Produto[Nome do Produto])</f>
        <v>Sapato Social</v>
      </c>
      <c r="E233" t="str">
        <f>VLOOKUP(TB_Venda[[#This Row],[Código do Produto]],TB_Produto[],3,FALSE)</f>
        <v>Calçados</v>
      </c>
      <c r="F233" t="str" cm="1">
        <f t="array" ref="F233">_xlfn.IFS(LEFT(TB_Venda[[#This Row],[Categoria]],5)="Roupa","Roupa",LEFT(TB_Venda[[#This Row],[Categoria]],7)="Calçado","Calçado",1,"Outros")</f>
        <v>Calçado</v>
      </c>
      <c r="G233" t="s">
        <v>73</v>
      </c>
      <c r="H233" s="1">
        <v>4</v>
      </c>
      <c r="I233" s="4">
        <v>274.01280000000003</v>
      </c>
      <c r="J233" t="s">
        <v>92</v>
      </c>
    </row>
    <row r="234" spans="1:10" x14ac:dyDescent="0.25">
      <c r="A234" t="s">
        <v>335</v>
      </c>
      <c r="B234" s="3">
        <v>45797</v>
      </c>
      <c r="C234" t="s">
        <v>25</v>
      </c>
      <c r="D234" t="str">
        <f>_xlfn.XLOOKUP(TB_Venda[[#This Row],[Código do Produto]],TB_Produto[Código],TB_Produto[Nome do Produto])</f>
        <v>Jaqueta Corta-Vento</v>
      </c>
      <c r="E234" t="str">
        <f>VLOOKUP(TB_Venda[[#This Row],[Código do Produto]],TB_Produto[],3,FALSE)</f>
        <v>Roupas Unissex</v>
      </c>
      <c r="F234" t="str" cm="1">
        <f t="array" ref="F234">_xlfn.IFS(LEFT(TB_Venda[[#This Row],[Categoria]],5)="Roupa","Roupa",LEFT(TB_Venda[[#This Row],[Categoria]],7)="Calçado","Calçado",1,"Outros")</f>
        <v>Roupa</v>
      </c>
      <c r="G234" t="s">
        <v>79</v>
      </c>
      <c r="H234" s="1">
        <v>2</v>
      </c>
      <c r="I234" s="4">
        <v>144.69759999999999</v>
      </c>
      <c r="J234" t="s">
        <v>96</v>
      </c>
    </row>
    <row r="235" spans="1:10" x14ac:dyDescent="0.25">
      <c r="A235" t="s">
        <v>336</v>
      </c>
      <c r="B235" s="3">
        <v>45755</v>
      </c>
      <c r="C235" t="s">
        <v>17</v>
      </c>
      <c r="D235" t="str">
        <f>_xlfn.XLOOKUP(TB_Venda[[#This Row],[Código do Produto]],TB_Produto[Código],TB_Produto[Nome do Produto])</f>
        <v>Tênis Casual</v>
      </c>
      <c r="E235" t="str">
        <f>VLOOKUP(TB_Venda[[#This Row],[Código do Produto]],TB_Produto[],3,FALSE)</f>
        <v>Calçados</v>
      </c>
      <c r="F235" t="str" cm="1">
        <f t="array" ref="F235">_xlfn.IFS(LEFT(TB_Venda[[#This Row],[Categoria]],5)="Roupa","Roupa",LEFT(TB_Venda[[#This Row],[Categoria]],7)="Calçado","Calçado",1,"Outros")</f>
        <v>Calçado</v>
      </c>
      <c r="G235" t="s">
        <v>77</v>
      </c>
      <c r="H235" s="1">
        <v>1</v>
      </c>
      <c r="I235" s="4">
        <v>240.3552</v>
      </c>
      <c r="J235" t="s">
        <v>96</v>
      </c>
    </row>
    <row r="236" spans="1:10" x14ac:dyDescent="0.25">
      <c r="A236" t="s">
        <v>337</v>
      </c>
      <c r="B236" s="3">
        <v>45681</v>
      </c>
      <c r="C236" t="s">
        <v>6</v>
      </c>
      <c r="D236" t="str">
        <f>_xlfn.XLOOKUP(TB_Venda[[#This Row],[Código do Produto]],TB_Produto[Código],TB_Produto[Nome do Produto])</f>
        <v>Camisa Polo</v>
      </c>
      <c r="E236" t="str">
        <f>VLOOKUP(TB_Venda[[#This Row],[Código do Produto]],TB_Produto[],3,FALSE)</f>
        <v>Camisaria</v>
      </c>
      <c r="F236" t="str" cm="1">
        <f t="array" ref="F236">_xlfn.IFS(LEFT(TB_Venda[[#This Row],[Categoria]],5)="Roupa","Roupa",LEFT(TB_Venda[[#This Row],[Categoria]],7)="Calçado","Calçado",1,"Outros")</f>
        <v>Outros</v>
      </c>
      <c r="G236" t="s">
        <v>79</v>
      </c>
      <c r="H236" s="1">
        <v>5</v>
      </c>
      <c r="I236" s="4">
        <v>254.57079999999999</v>
      </c>
      <c r="J236" t="s">
        <v>96</v>
      </c>
    </row>
    <row r="237" spans="1:10" x14ac:dyDescent="0.25">
      <c r="A237" t="s">
        <v>338</v>
      </c>
      <c r="B237" s="3">
        <v>45770</v>
      </c>
      <c r="C237" t="s">
        <v>24</v>
      </c>
      <c r="D237" t="str">
        <f>_xlfn.XLOOKUP(TB_Venda[[#This Row],[Código do Produto]],TB_Produto[Código],TB_Produto[Nome do Produto])</f>
        <v>Camiseta Estampada</v>
      </c>
      <c r="E237" t="str">
        <f>VLOOKUP(TB_Venda[[#This Row],[Código do Produto]],TB_Produto[],3,FALSE)</f>
        <v>Roupas Unissex</v>
      </c>
      <c r="F237" t="str" cm="1">
        <f t="array" ref="F237">_xlfn.IFS(LEFT(TB_Venda[[#This Row],[Categoria]],5)="Roupa","Roupa",LEFT(TB_Venda[[#This Row],[Categoria]],7)="Calçado","Calçado",1,"Outros")</f>
        <v>Roupa</v>
      </c>
      <c r="G237" t="s">
        <v>78</v>
      </c>
      <c r="H237" s="1">
        <v>2</v>
      </c>
      <c r="I237" s="4">
        <v>339.59039999999999</v>
      </c>
      <c r="J237" t="s">
        <v>95</v>
      </c>
    </row>
    <row r="238" spans="1:10" x14ac:dyDescent="0.25">
      <c r="A238" t="s">
        <v>339</v>
      </c>
      <c r="B238" s="3">
        <v>45659</v>
      </c>
      <c r="C238" t="s">
        <v>31</v>
      </c>
      <c r="D238" t="str">
        <f>_xlfn.XLOOKUP(TB_Venda[[#This Row],[Código do Produto]],TB_Produto[Código],TB_Produto[Nome do Produto])</f>
        <v>Sapato Social</v>
      </c>
      <c r="E238" t="str">
        <f>VLOOKUP(TB_Venda[[#This Row],[Código do Produto]],TB_Produto[],3,FALSE)</f>
        <v>Calçados</v>
      </c>
      <c r="F238" t="str" cm="1">
        <f t="array" ref="F238">_xlfn.IFS(LEFT(TB_Venda[[#This Row],[Categoria]],5)="Roupa","Roupa",LEFT(TB_Venda[[#This Row],[Categoria]],7)="Calçado","Calçado",1,"Outros")</f>
        <v>Calçado</v>
      </c>
      <c r="G238" t="s">
        <v>73</v>
      </c>
      <c r="H238" s="1">
        <v>2</v>
      </c>
      <c r="I238" s="4">
        <v>271.1585</v>
      </c>
      <c r="J238" t="s">
        <v>92</v>
      </c>
    </row>
    <row r="239" spans="1:10" x14ac:dyDescent="0.25">
      <c r="A239" t="s">
        <v>340</v>
      </c>
      <c r="B239" s="3">
        <v>45706</v>
      </c>
      <c r="C239" t="s">
        <v>30</v>
      </c>
      <c r="D239" t="str">
        <f>_xlfn.XLOOKUP(TB_Venda[[#This Row],[Código do Produto]],TB_Produto[Código],TB_Produto[Nome do Produto])</f>
        <v>Tênis Corrida</v>
      </c>
      <c r="E239" t="str">
        <f>VLOOKUP(TB_Venda[[#This Row],[Código do Produto]],TB_Produto[],3,FALSE)</f>
        <v>Calçados</v>
      </c>
      <c r="F239" t="str" cm="1">
        <f t="array" ref="F239">_xlfn.IFS(LEFT(TB_Venda[[#This Row],[Categoria]],5)="Roupa","Roupa",LEFT(TB_Venda[[#This Row],[Categoria]],7)="Calçado","Calçado",1,"Outros")</f>
        <v>Calçado</v>
      </c>
      <c r="G239" t="s">
        <v>80</v>
      </c>
      <c r="H239" s="1">
        <v>3</v>
      </c>
      <c r="I239" s="4">
        <v>147.99120000000002</v>
      </c>
      <c r="J239" t="s">
        <v>92</v>
      </c>
    </row>
    <row r="240" spans="1:10" x14ac:dyDescent="0.25">
      <c r="A240" t="s">
        <v>341</v>
      </c>
      <c r="B240" s="3">
        <v>45693</v>
      </c>
      <c r="C240" t="s">
        <v>26</v>
      </c>
      <c r="D240" t="str">
        <f>_xlfn.XLOOKUP(TB_Venda[[#This Row],[Código do Produto]],TB_Produto[Código],TB_Produto[Nome do Produto])</f>
        <v>Sandália Rasteira</v>
      </c>
      <c r="E240" t="str">
        <f>VLOOKUP(TB_Venda[[#This Row],[Código do Produto]],TB_Produto[],3,FALSE)</f>
        <v>Calçados</v>
      </c>
      <c r="F240" t="str" cm="1">
        <f t="array" ref="F240">_xlfn.IFS(LEFT(TB_Venda[[#This Row],[Categoria]],5)="Roupa","Roupa",LEFT(TB_Venda[[#This Row],[Categoria]],7)="Calçado","Calçado",1,"Outros")</f>
        <v>Calçado</v>
      </c>
      <c r="G240" t="s">
        <v>81</v>
      </c>
      <c r="H240" s="1">
        <v>5</v>
      </c>
      <c r="I240" s="4">
        <v>366.29319999999996</v>
      </c>
      <c r="J240" t="s">
        <v>96</v>
      </c>
    </row>
    <row r="241" spans="1:10" x14ac:dyDescent="0.25">
      <c r="A241" t="s">
        <v>342</v>
      </c>
      <c r="B241" s="3">
        <v>45666</v>
      </c>
      <c r="C241" t="s">
        <v>24</v>
      </c>
      <c r="D241" t="str">
        <f>_xlfn.XLOOKUP(TB_Venda[[#This Row],[Código do Produto]],TB_Produto[Código],TB_Produto[Nome do Produto])</f>
        <v>Camiseta Estampada</v>
      </c>
      <c r="E241" t="str">
        <f>VLOOKUP(TB_Venda[[#This Row],[Código do Produto]],TB_Produto[],3,FALSE)</f>
        <v>Roupas Unissex</v>
      </c>
      <c r="F241" t="str" cm="1">
        <f t="array" ref="F241">_xlfn.IFS(LEFT(TB_Venda[[#This Row],[Categoria]],5)="Roupa","Roupa",LEFT(TB_Venda[[#This Row],[Categoria]],7)="Calçado","Calçado",1,"Outros")</f>
        <v>Roupa</v>
      </c>
      <c r="G241" t="s">
        <v>73</v>
      </c>
      <c r="H241" s="1">
        <v>5</v>
      </c>
      <c r="I241" s="4">
        <v>339.59039999999999</v>
      </c>
      <c r="J241" t="s">
        <v>92</v>
      </c>
    </row>
    <row r="242" spans="1:10" x14ac:dyDescent="0.25">
      <c r="A242" t="s">
        <v>343</v>
      </c>
      <c r="B242" s="3">
        <v>45714</v>
      </c>
      <c r="C242" t="s">
        <v>5</v>
      </c>
      <c r="D242" t="str">
        <f>_xlfn.XLOOKUP(TB_Venda[[#This Row],[Código do Produto]],TB_Produto[Código],TB_Produto[Nome do Produto])</f>
        <v>Tênis Esportivo</v>
      </c>
      <c r="E242" t="str">
        <f>VLOOKUP(TB_Venda[[#This Row],[Código do Produto]],TB_Produto[],3,FALSE)</f>
        <v>Calçados</v>
      </c>
      <c r="F242" t="str" cm="1">
        <f t="array" ref="F242">_xlfn.IFS(LEFT(TB_Venda[[#This Row],[Categoria]],5)="Roupa","Roupa",LEFT(TB_Venda[[#This Row],[Categoria]],7)="Calçado","Calçado",1,"Outros")</f>
        <v>Calçado</v>
      </c>
      <c r="G242" t="s">
        <v>81</v>
      </c>
      <c r="H242" s="1">
        <v>5</v>
      </c>
      <c r="I242" s="4">
        <v>429.64140000000003</v>
      </c>
      <c r="J242" t="s">
        <v>96</v>
      </c>
    </row>
    <row r="243" spans="1:10" x14ac:dyDescent="0.25">
      <c r="A243" t="s">
        <v>344</v>
      </c>
      <c r="B243" s="3">
        <v>45813</v>
      </c>
      <c r="C243" t="s">
        <v>8</v>
      </c>
      <c r="D243" t="str">
        <f>_xlfn.XLOOKUP(TB_Venda[[#This Row],[Código do Produto]],TB_Produto[Código],TB_Produto[Nome do Produto])</f>
        <v>Sandália Casual</v>
      </c>
      <c r="E243" t="str">
        <f>VLOOKUP(TB_Venda[[#This Row],[Código do Produto]],TB_Produto[],3,FALSE)</f>
        <v>Calçados</v>
      </c>
      <c r="F243" t="str" cm="1">
        <f t="array" ref="F243">_xlfn.IFS(LEFT(TB_Venda[[#This Row],[Categoria]],5)="Roupa","Roupa",LEFT(TB_Venda[[#This Row],[Categoria]],7)="Calçado","Calçado",1,"Outros")</f>
        <v>Calçado</v>
      </c>
      <c r="G243" t="s">
        <v>80</v>
      </c>
      <c r="H243" s="1">
        <v>3</v>
      </c>
      <c r="I243" s="4">
        <v>387.25560000000002</v>
      </c>
      <c r="J243" t="s">
        <v>92</v>
      </c>
    </row>
    <row r="244" spans="1:10" x14ac:dyDescent="0.25">
      <c r="A244" t="s">
        <v>345</v>
      </c>
      <c r="B244" s="3">
        <v>45754</v>
      </c>
      <c r="C244" t="s">
        <v>24</v>
      </c>
      <c r="D244" t="str">
        <f>_xlfn.XLOOKUP(TB_Venda[[#This Row],[Código do Produto]],TB_Produto[Código],TB_Produto[Nome do Produto])</f>
        <v>Camiseta Estampada</v>
      </c>
      <c r="E244" t="str">
        <f>VLOOKUP(TB_Venda[[#This Row],[Código do Produto]],TB_Produto[],3,FALSE)</f>
        <v>Roupas Unissex</v>
      </c>
      <c r="F244" t="str" cm="1">
        <f t="array" ref="F244">_xlfn.IFS(LEFT(TB_Venda[[#This Row],[Categoria]],5)="Roupa","Roupa",LEFT(TB_Venda[[#This Row],[Categoria]],7)="Calçado","Calçado",1,"Outros")</f>
        <v>Roupa</v>
      </c>
      <c r="G244" t="s">
        <v>80</v>
      </c>
      <c r="H244" s="1">
        <v>5</v>
      </c>
      <c r="I244" s="4">
        <v>332.20800000000003</v>
      </c>
      <c r="J244" t="s">
        <v>92</v>
      </c>
    </row>
    <row r="245" spans="1:10" x14ac:dyDescent="0.25">
      <c r="A245" t="s">
        <v>346</v>
      </c>
      <c r="B245" s="3">
        <v>45741</v>
      </c>
      <c r="C245" t="s">
        <v>33</v>
      </c>
      <c r="D245" t="str">
        <f>_xlfn.XLOOKUP(TB_Venda[[#This Row],[Código do Produto]],TB_Produto[Código],TB_Produto[Nome do Produto])</f>
        <v>Camisa de Linho</v>
      </c>
      <c r="E245" t="str">
        <f>VLOOKUP(TB_Venda[[#This Row],[Código do Produto]],TB_Produto[],3,FALSE)</f>
        <v>Roupas Masculinas</v>
      </c>
      <c r="F245" t="str" cm="1">
        <f t="array" ref="F245">_xlfn.IFS(LEFT(TB_Venda[[#This Row],[Categoria]],5)="Roupa","Roupa",LEFT(TB_Venda[[#This Row],[Categoria]],7)="Calçado","Calçado",1,"Outros")</f>
        <v>Roupa</v>
      </c>
      <c r="G245" t="s">
        <v>76</v>
      </c>
      <c r="H245" s="1">
        <v>4</v>
      </c>
      <c r="I245" s="4">
        <v>87.252800000000008</v>
      </c>
      <c r="J245" t="s">
        <v>95</v>
      </c>
    </row>
    <row r="246" spans="1:10" x14ac:dyDescent="0.25">
      <c r="A246" t="s">
        <v>347</v>
      </c>
      <c r="B246" s="3">
        <v>45807</v>
      </c>
      <c r="C246" t="s">
        <v>23</v>
      </c>
      <c r="D246" t="str">
        <f>_xlfn.XLOOKUP(TB_Venda[[#This Row],[Código do Produto]],TB_Produto[Código],TB_Produto[Nome do Produto])</f>
        <v>Moletom Unissex</v>
      </c>
      <c r="E246" t="str">
        <f>VLOOKUP(TB_Venda[[#This Row],[Código do Produto]],TB_Produto[],3,FALSE)</f>
        <v>Roupas Unissex</v>
      </c>
      <c r="F246" t="str" cm="1">
        <f t="array" ref="F246">_xlfn.IFS(LEFT(TB_Venda[[#This Row],[Categoria]],5)="Roupa","Roupa",LEFT(TB_Venda[[#This Row],[Categoria]],7)="Calçado","Calçado",1,"Outros")</f>
        <v>Roupa</v>
      </c>
      <c r="G246" t="s">
        <v>79</v>
      </c>
      <c r="H246" s="1">
        <v>4</v>
      </c>
      <c r="I246" s="4">
        <v>202.608</v>
      </c>
      <c r="J246" t="s">
        <v>96</v>
      </c>
    </row>
    <row r="247" spans="1:10" x14ac:dyDescent="0.25">
      <c r="A247" t="s">
        <v>348</v>
      </c>
      <c r="B247" s="3">
        <v>45816</v>
      </c>
      <c r="C247" t="s">
        <v>30</v>
      </c>
      <c r="D247" t="str">
        <f>_xlfn.XLOOKUP(TB_Venda[[#This Row],[Código do Produto]],TB_Produto[Código],TB_Produto[Nome do Produto])</f>
        <v>Tênis Corrida</v>
      </c>
      <c r="E247" t="str">
        <f>VLOOKUP(TB_Venda[[#This Row],[Código do Produto]],TB_Produto[],3,FALSE)</f>
        <v>Calçados</v>
      </c>
      <c r="F247" t="str" cm="1">
        <f t="array" ref="F247">_xlfn.IFS(LEFT(TB_Venda[[#This Row],[Categoria]],5)="Roupa","Roupa",LEFT(TB_Venda[[#This Row],[Categoria]],7)="Calçado","Calçado",1,"Outros")</f>
        <v>Calçado</v>
      </c>
      <c r="G247" t="s">
        <v>80</v>
      </c>
      <c r="H247" s="1">
        <v>1</v>
      </c>
      <c r="I247" s="4">
        <v>144.774</v>
      </c>
      <c r="J247" t="s">
        <v>92</v>
      </c>
    </row>
    <row r="248" spans="1:10" x14ac:dyDescent="0.25">
      <c r="A248" t="s">
        <v>349</v>
      </c>
      <c r="B248" s="3">
        <v>45736</v>
      </c>
      <c r="C248" t="s">
        <v>17</v>
      </c>
      <c r="D248" t="str">
        <f>_xlfn.XLOOKUP(TB_Venda[[#This Row],[Código do Produto]],TB_Produto[Código],TB_Produto[Nome do Produto])</f>
        <v>Tênis Casual</v>
      </c>
      <c r="E248" t="str">
        <f>VLOOKUP(TB_Venda[[#This Row],[Código do Produto]],TB_Produto[],3,FALSE)</f>
        <v>Calçados</v>
      </c>
      <c r="F248" t="str" cm="1">
        <f t="array" ref="F248">_xlfn.IFS(LEFT(TB_Venda[[#This Row],[Categoria]],5)="Roupa","Roupa",LEFT(TB_Venda[[#This Row],[Categoria]],7)="Calçado","Calçado",1,"Outros")</f>
        <v>Calçado</v>
      </c>
      <c r="G248" t="s">
        <v>81</v>
      </c>
      <c r="H248" s="1">
        <v>5</v>
      </c>
      <c r="I248" s="4">
        <v>242.85890000000001</v>
      </c>
      <c r="J248" t="s">
        <v>96</v>
      </c>
    </row>
    <row r="249" spans="1:10" x14ac:dyDescent="0.25">
      <c r="A249" t="s">
        <v>350</v>
      </c>
      <c r="B249" s="3">
        <v>45762</v>
      </c>
      <c r="C249" t="s">
        <v>14</v>
      </c>
      <c r="D249" t="str">
        <f>_xlfn.XLOOKUP(TB_Venda[[#This Row],[Código do Produto]],TB_Produto[Código],TB_Produto[Nome do Produto])</f>
        <v>Camiseta Básica</v>
      </c>
      <c r="E249" t="str">
        <f>VLOOKUP(TB_Venda[[#This Row],[Código do Produto]],TB_Produto[],3,FALSE)</f>
        <v>Roupas Unissex</v>
      </c>
      <c r="F249" t="str" cm="1">
        <f t="array" ref="F249">_xlfn.IFS(LEFT(TB_Venda[[#This Row],[Categoria]],5)="Roupa","Roupa",LEFT(TB_Venda[[#This Row],[Categoria]],7)="Calçado","Calçado",1,"Outros")</f>
        <v>Roupa</v>
      </c>
      <c r="G249" t="s">
        <v>73</v>
      </c>
      <c r="H249" s="1">
        <v>5</v>
      </c>
      <c r="I249" s="4">
        <v>163.50239999999999</v>
      </c>
      <c r="J249" t="s">
        <v>92</v>
      </c>
    </row>
    <row r="250" spans="1:10" x14ac:dyDescent="0.25">
      <c r="A250" t="s">
        <v>351</v>
      </c>
      <c r="B250" s="3">
        <v>45726</v>
      </c>
      <c r="C250" t="s">
        <v>20</v>
      </c>
      <c r="D250" t="str">
        <f>_xlfn.XLOOKUP(TB_Venda[[#This Row],[Código do Produto]],TB_Produto[Código],TB_Produto[Nome do Produto])</f>
        <v>Regata Masculina</v>
      </c>
      <c r="E250" t="str">
        <f>VLOOKUP(TB_Venda[[#This Row],[Código do Produto]],TB_Produto[],3,FALSE)</f>
        <v>Roupas Masculinas</v>
      </c>
      <c r="F250" t="str" cm="1">
        <f t="array" ref="F250">_xlfn.IFS(LEFT(TB_Venda[[#This Row],[Categoria]],5)="Roupa","Roupa",LEFT(TB_Venda[[#This Row],[Categoria]],7)="Calçado","Calçado",1,"Outros")</f>
        <v>Roupa</v>
      </c>
      <c r="G250" t="s">
        <v>76</v>
      </c>
      <c r="H250" s="1">
        <v>3</v>
      </c>
      <c r="I250" s="4">
        <v>407.3888</v>
      </c>
      <c r="J250" t="s">
        <v>95</v>
      </c>
    </row>
    <row r="251" spans="1:10" x14ac:dyDescent="0.25">
      <c r="A251" t="s">
        <v>352</v>
      </c>
      <c r="B251" s="3">
        <v>45740</v>
      </c>
      <c r="C251" t="s">
        <v>6</v>
      </c>
      <c r="D251" t="str">
        <f>_xlfn.XLOOKUP(TB_Venda[[#This Row],[Código do Produto]],TB_Produto[Código],TB_Produto[Nome do Produto])</f>
        <v>Camisa Polo</v>
      </c>
      <c r="E251" t="str">
        <f>VLOOKUP(TB_Venda[[#This Row],[Código do Produto]],TB_Produto[],3,FALSE)</f>
        <v>Camisaria</v>
      </c>
      <c r="F251" t="str" cm="1">
        <f t="array" ref="F251">_xlfn.IFS(LEFT(TB_Venda[[#This Row],[Categoria]],5)="Roupa","Roupa",LEFT(TB_Venda[[#This Row],[Categoria]],7)="Calçado","Calçado",1,"Outros")</f>
        <v>Outros</v>
      </c>
      <c r="G251" t="s">
        <v>79</v>
      </c>
      <c r="H251" s="1">
        <v>1</v>
      </c>
      <c r="I251" s="4">
        <v>243.738</v>
      </c>
      <c r="J251" t="s">
        <v>96</v>
      </c>
    </row>
    <row r="252" spans="1:10" x14ac:dyDescent="0.25">
      <c r="A252" t="s">
        <v>353</v>
      </c>
      <c r="B252" s="3">
        <v>45829</v>
      </c>
      <c r="C252" t="s">
        <v>31</v>
      </c>
      <c r="D252" t="str">
        <f>_xlfn.XLOOKUP(TB_Venda[[#This Row],[Código do Produto]],TB_Produto[Código],TB_Produto[Nome do Produto])</f>
        <v>Sapato Social</v>
      </c>
      <c r="E252" t="str">
        <f>VLOOKUP(TB_Venda[[#This Row],[Código do Produto]],TB_Produto[],3,FALSE)</f>
        <v>Calçados</v>
      </c>
      <c r="F252" t="str" cm="1">
        <f t="array" ref="F252">_xlfn.IFS(LEFT(TB_Venda[[#This Row],[Categoria]],5)="Roupa","Roupa",LEFT(TB_Venda[[#This Row],[Categoria]],7)="Calçado","Calçado",1,"Outros")</f>
        <v>Calçado</v>
      </c>
      <c r="G252" t="s">
        <v>75</v>
      </c>
      <c r="H252" s="1">
        <v>4</v>
      </c>
      <c r="I252" s="4">
        <v>265.44990000000001</v>
      </c>
      <c r="J252" t="s">
        <v>94</v>
      </c>
    </row>
    <row r="253" spans="1:10" x14ac:dyDescent="0.25">
      <c r="A253" t="s">
        <v>354</v>
      </c>
      <c r="B253" s="3">
        <v>45688</v>
      </c>
      <c r="C253" t="s">
        <v>23</v>
      </c>
      <c r="D253" t="str">
        <f>_xlfn.XLOOKUP(TB_Venda[[#This Row],[Código do Produto]],TB_Produto[Código],TB_Produto[Nome do Produto])</f>
        <v>Moletom Unissex</v>
      </c>
      <c r="E253" t="str">
        <f>VLOOKUP(TB_Venda[[#This Row],[Código do Produto]],TB_Produto[],3,FALSE)</f>
        <v>Roupas Unissex</v>
      </c>
      <c r="F253" t="str" cm="1">
        <f t="array" ref="F253">_xlfn.IFS(LEFT(TB_Venda[[#This Row],[Categoria]],5)="Roupa","Roupa",LEFT(TB_Venda[[#This Row],[Categoria]],7)="Calçado","Calçado",1,"Outros")</f>
        <v>Roupa</v>
      </c>
      <c r="G253" t="s">
        <v>73</v>
      </c>
      <c r="H253" s="1">
        <v>4</v>
      </c>
      <c r="I253" s="4">
        <v>192.05550000000002</v>
      </c>
      <c r="J253" t="s">
        <v>92</v>
      </c>
    </row>
    <row r="254" spans="1:10" x14ac:dyDescent="0.25">
      <c r="A254" t="s">
        <v>355</v>
      </c>
      <c r="B254" s="3">
        <v>45756</v>
      </c>
      <c r="C254" t="s">
        <v>5</v>
      </c>
      <c r="D254" t="str">
        <f>_xlfn.XLOOKUP(TB_Venda[[#This Row],[Código do Produto]],TB_Produto[Código],TB_Produto[Nome do Produto])</f>
        <v>Tênis Esportivo</v>
      </c>
      <c r="E254" t="str">
        <f>VLOOKUP(TB_Venda[[#This Row],[Código do Produto]],TB_Produto[],3,FALSE)</f>
        <v>Calçados</v>
      </c>
      <c r="F254" t="str" cm="1">
        <f t="array" ref="F254">_xlfn.IFS(LEFT(TB_Venda[[#This Row],[Categoria]],5)="Roupa","Roupa",LEFT(TB_Venda[[#This Row],[Categoria]],7)="Calçado","Calçado",1,"Outros")</f>
        <v>Calçado</v>
      </c>
      <c r="G254" t="s">
        <v>75</v>
      </c>
      <c r="H254" s="1">
        <v>3</v>
      </c>
      <c r="I254" s="4">
        <v>429.64140000000003</v>
      </c>
      <c r="J254" t="s">
        <v>94</v>
      </c>
    </row>
    <row r="255" spans="1:10" x14ac:dyDescent="0.25">
      <c r="A255" t="s">
        <v>356</v>
      </c>
      <c r="B255" s="3">
        <v>45834</v>
      </c>
      <c r="C255" t="s">
        <v>16</v>
      </c>
      <c r="D255" t="str">
        <f>_xlfn.XLOOKUP(TB_Venda[[#This Row],[Código do Produto]],TB_Produto[Código],TB_Produto[Nome do Produto])</f>
        <v>Shorts Jeans</v>
      </c>
      <c r="E255" t="str">
        <f>VLOOKUP(TB_Venda[[#This Row],[Código do Produto]],TB_Produto[],3,FALSE)</f>
        <v>Roupas Femininas</v>
      </c>
      <c r="F255" t="str" cm="1">
        <f t="array" ref="F255">_xlfn.IFS(LEFT(TB_Venda[[#This Row],[Categoria]],5)="Roupa","Roupa",LEFT(TB_Venda[[#This Row],[Categoria]],7)="Calçado","Calçado",1,"Outros")</f>
        <v>Roupa</v>
      </c>
      <c r="G255" t="s">
        <v>77</v>
      </c>
      <c r="H255" s="1">
        <v>5</v>
      </c>
      <c r="I255" s="4">
        <v>200.76299999999998</v>
      </c>
      <c r="J255" t="s">
        <v>96</v>
      </c>
    </row>
    <row r="256" spans="1:10" x14ac:dyDescent="0.25">
      <c r="A256" t="s">
        <v>357</v>
      </c>
      <c r="B256" s="3">
        <v>45818</v>
      </c>
      <c r="C256" t="s">
        <v>9</v>
      </c>
      <c r="D256" t="str">
        <f>_xlfn.XLOOKUP(TB_Venda[[#This Row],[Código do Produto]],TB_Produto[Código],TB_Produto[Nome do Produto])</f>
        <v>Vestido Longo</v>
      </c>
      <c r="E256" t="str">
        <f>VLOOKUP(TB_Venda[[#This Row],[Código do Produto]],TB_Produto[],3,FALSE)</f>
        <v>Roupas Femininas</v>
      </c>
      <c r="F256" t="str" cm="1">
        <f t="array" ref="F256">_xlfn.IFS(LEFT(TB_Venda[[#This Row],[Categoria]],5)="Roupa","Roupa",LEFT(TB_Venda[[#This Row],[Categoria]],7)="Calçado","Calçado",1,"Outros")</f>
        <v>Roupa</v>
      </c>
      <c r="G256" t="s">
        <v>74</v>
      </c>
      <c r="H256" s="1">
        <v>1</v>
      </c>
      <c r="I256" s="4">
        <v>79.873200000000011</v>
      </c>
      <c r="J256" t="s">
        <v>93</v>
      </c>
    </row>
    <row r="257" spans="1:10" x14ac:dyDescent="0.25">
      <c r="A257" t="s">
        <v>358</v>
      </c>
      <c r="B257" s="3">
        <v>45810</v>
      </c>
      <c r="C257" t="s">
        <v>33</v>
      </c>
      <c r="D257" t="str">
        <f>_xlfn.XLOOKUP(TB_Venda[[#This Row],[Código do Produto]],TB_Produto[Código],TB_Produto[Nome do Produto])</f>
        <v>Camisa de Linho</v>
      </c>
      <c r="E257" t="str">
        <f>VLOOKUP(TB_Venda[[#This Row],[Código do Produto]],TB_Produto[],3,FALSE)</f>
        <v>Roupas Masculinas</v>
      </c>
      <c r="F257" t="str" cm="1">
        <f t="array" ref="F257">_xlfn.IFS(LEFT(TB_Venda[[#This Row],[Categoria]],5)="Roupa","Roupa",LEFT(TB_Venda[[#This Row],[Categoria]],7)="Calçado","Calçado",1,"Outros")</f>
        <v>Roupa</v>
      </c>
      <c r="G257" t="s">
        <v>81</v>
      </c>
      <c r="H257" s="1">
        <v>1</v>
      </c>
      <c r="I257" s="4">
        <v>93.891599999999997</v>
      </c>
      <c r="J257" t="s">
        <v>96</v>
      </c>
    </row>
    <row r="258" spans="1:10" x14ac:dyDescent="0.25">
      <c r="A258" t="s">
        <v>359</v>
      </c>
      <c r="B258" s="3">
        <v>45788</v>
      </c>
      <c r="C258" t="s">
        <v>8</v>
      </c>
      <c r="D258" t="str">
        <f>_xlfn.XLOOKUP(TB_Venda[[#This Row],[Código do Produto]],TB_Produto[Código],TB_Produto[Nome do Produto])</f>
        <v>Sandália Casual</v>
      </c>
      <c r="E258" t="str">
        <f>VLOOKUP(TB_Venda[[#This Row],[Código do Produto]],TB_Produto[],3,FALSE)</f>
        <v>Calçados</v>
      </c>
      <c r="F258" t="str" cm="1">
        <f t="array" ref="F258">_xlfn.IFS(LEFT(TB_Venda[[#This Row],[Categoria]],5)="Roupa","Roupa",LEFT(TB_Venda[[#This Row],[Categoria]],7)="Calçado","Calçado",1,"Outros")</f>
        <v>Calçado</v>
      </c>
      <c r="G258" t="s">
        <v>77</v>
      </c>
      <c r="H258" s="1">
        <v>4</v>
      </c>
      <c r="I258" s="4">
        <v>395.67419999999998</v>
      </c>
      <c r="J258" t="s">
        <v>96</v>
      </c>
    </row>
    <row r="259" spans="1:10" x14ac:dyDescent="0.25">
      <c r="A259" t="s">
        <v>360</v>
      </c>
      <c r="B259" s="3">
        <v>45723</v>
      </c>
      <c r="C259" t="s">
        <v>5</v>
      </c>
      <c r="D259" t="str">
        <f>_xlfn.XLOOKUP(TB_Venda[[#This Row],[Código do Produto]],TB_Produto[Código],TB_Produto[Nome do Produto])</f>
        <v>Tênis Esportivo</v>
      </c>
      <c r="E259" t="str">
        <f>VLOOKUP(TB_Venda[[#This Row],[Código do Produto]],TB_Produto[],3,FALSE)</f>
        <v>Calçados</v>
      </c>
      <c r="F259" t="str" cm="1">
        <f t="array" ref="F259">_xlfn.IFS(LEFT(TB_Venda[[#This Row],[Categoria]],5)="Roupa","Roupa",LEFT(TB_Venda[[#This Row],[Categoria]],7)="Calçado","Calçado",1,"Outros")</f>
        <v>Calçado</v>
      </c>
      <c r="G259" t="s">
        <v>76</v>
      </c>
      <c r="H259" s="1">
        <v>3</v>
      </c>
      <c r="I259" s="4">
        <v>425.02160000000003</v>
      </c>
      <c r="J259" t="s">
        <v>95</v>
      </c>
    </row>
    <row r="260" spans="1:10" x14ac:dyDescent="0.25">
      <c r="A260" t="s">
        <v>361</v>
      </c>
      <c r="B260" s="3">
        <v>45717</v>
      </c>
      <c r="C260" t="s">
        <v>14</v>
      </c>
      <c r="D260" t="str">
        <f>_xlfn.XLOOKUP(TB_Venda[[#This Row],[Código do Produto]],TB_Produto[Código],TB_Produto[Nome do Produto])</f>
        <v>Camiseta Básica</v>
      </c>
      <c r="E260" t="str">
        <f>VLOOKUP(TB_Venda[[#This Row],[Código do Produto]],TB_Produto[],3,FALSE)</f>
        <v>Roupas Unissex</v>
      </c>
      <c r="F260" t="str" cm="1">
        <f t="array" ref="F260">_xlfn.IFS(LEFT(TB_Venda[[#This Row],[Categoria]],5)="Roupa","Roupa",LEFT(TB_Venda[[#This Row],[Categoria]],7)="Calçado","Calçado",1,"Outros")</f>
        <v>Roupa</v>
      </c>
      <c r="G260" t="s">
        <v>75</v>
      </c>
      <c r="H260" s="1">
        <v>2</v>
      </c>
      <c r="I260" s="4">
        <v>174.16560000000001</v>
      </c>
      <c r="J260" t="s">
        <v>94</v>
      </c>
    </row>
    <row r="261" spans="1:10" x14ac:dyDescent="0.25">
      <c r="A261" t="s">
        <v>362</v>
      </c>
      <c r="B261" s="3">
        <v>45695</v>
      </c>
      <c r="C261" t="s">
        <v>7</v>
      </c>
      <c r="D261" t="str">
        <f>_xlfn.XLOOKUP(TB_Venda[[#This Row],[Código do Produto]],TB_Produto[Código],TB_Produto[Nome do Produto])</f>
        <v>Blusa de Frio</v>
      </c>
      <c r="E261" t="str">
        <f>VLOOKUP(TB_Venda[[#This Row],[Código do Produto]],TB_Produto[],3,FALSE)</f>
        <v>Roupas Femininas</v>
      </c>
      <c r="F261" t="str" cm="1">
        <f t="array" ref="F261">_xlfn.IFS(LEFT(TB_Venda[[#This Row],[Categoria]],5)="Roupa","Roupa",LEFT(TB_Venda[[#This Row],[Categoria]],7)="Calçado","Calçado",1,"Outros")</f>
        <v>Roupa</v>
      </c>
      <c r="G261" t="s">
        <v>77</v>
      </c>
      <c r="H261" s="1">
        <v>3</v>
      </c>
      <c r="I261" s="4">
        <v>273.28620000000001</v>
      </c>
      <c r="J261" t="s">
        <v>96</v>
      </c>
    </row>
    <row r="262" spans="1:10" x14ac:dyDescent="0.25">
      <c r="A262" t="s">
        <v>363</v>
      </c>
      <c r="B262" s="3">
        <v>45831</v>
      </c>
      <c r="C262" t="s">
        <v>14</v>
      </c>
      <c r="D262" t="str">
        <f>_xlfn.XLOOKUP(TB_Venda[[#This Row],[Código do Produto]],TB_Produto[Código],TB_Produto[Nome do Produto])</f>
        <v>Camiseta Básica</v>
      </c>
      <c r="E262" t="str">
        <f>VLOOKUP(TB_Venda[[#This Row],[Código do Produto]],TB_Produto[],3,FALSE)</f>
        <v>Roupas Unissex</v>
      </c>
      <c r="F262" t="str" cm="1">
        <f t="array" ref="F262">_xlfn.IFS(LEFT(TB_Venda[[#This Row],[Categoria]],5)="Roupa","Roupa",LEFT(TB_Venda[[#This Row],[Categoria]],7)="Calçado","Calçado",1,"Outros")</f>
        <v>Roupa</v>
      </c>
      <c r="G262" t="s">
        <v>74</v>
      </c>
      <c r="H262" s="1">
        <v>3</v>
      </c>
      <c r="I262" s="4">
        <v>163.50239999999999</v>
      </c>
      <c r="J262" t="s">
        <v>93</v>
      </c>
    </row>
    <row r="263" spans="1:10" x14ac:dyDescent="0.25">
      <c r="A263" t="s">
        <v>364</v>
      </c>
      <c r="B263" s="3">
        <v>45701</v>
      </c>
      <c r="C263" t="s">
        <v>24</v>
      </c>
      <c r="D263" t="str">
        <f>_xlfn.XLOOKUP(TB_Venda[[#This Row],[Código do Produto]],TB_Produto[Código],TB_Produto[Nome do Produto])</f>
        <v>Camiseta Estampada</v>
      </c>
      <c r="E263" t="str">
        <f>VLOOKUP(TB_Venda[[#This Row],[Código do Produto]],TB_Produto[],3,FALSE)</f>
        <v>Roupas Unissex</v>
      </c>
      <c r="F263" t="str" cm="1">
        <f t="array" ref="F263">_xlfn.IFS(LEFT(TB_Venda[[#This Row],[Categoria]],5)="Roupa","Roupa",LEFT(TB_Venda[[#This Row],[Categoria]],7)="Calçado","Calçado",1,"Outros")</f>
        <v>Roupa</v>
      </c>
      <c r="G263" t="s">
        <v>77</v>
      </c>
      <c r="H263" s="1">
        <v>4</v>
      </c>
      <c r="I263" s="4">
        <v>354.35520000000002</v>
      </c>
      <c r="J263" t="s">
        <v>96</v>
      </c>
    </row>
    <row r="264" spans="1:10" x14ac:dyDescent="0.25">
      <c r="A264" t="s">
        <v>365</v>
      </c>
      <c r="B264" s="3">
        <v>45792</v>
      </c>
      <c r="C264" t="s">
        <v>34</v>
      </c>
      <c r="D264" t="str">
        <f>_xlfn.XLOOKUP(TB_Venda[[#This Row],[Código do Produto]],TB_Produto[Código],TB_Produto[Nome do Produto])</f>
        <v>Vestido Estampado</v>
      </c>
      <c r="E264" t="str">
        <f>VLOOKUP(TB_Venda[[#This Row],[Código do Produto]],TB_Produto[],3,FALSE)</f>
        <v>Roupas Femininas</v>
      </c>
      <c r="F264" t="str" cm="1">
        <f t="array" ref="F264">_xlfn.IFS(LEFT(TB_Venda[[#This Row],[Categoria]],5)="Roupa","Roupa",LEFT(TB_Venda[[#This Row],[Categoria]],7)="Calçado","Calçado",1,"Outros")</f>
        <v>Roupa</v>
      </c>
      <c r="G264" t="s">
        <v>75</v>
      </c>
      <c r="H264" s="1">
        <v>1</v>
      </c>
      <c r="I264" s="4">
        <v>306.89069999999998</v>
      </c>
      <c r="J264" t="s">
        <v>94</v>
      </c>
    </row>
    <row r="265" spans="1:10" x14ac:dyDescent="0.25">
      <c r="A265" t="s">
        <v>366</v>
      </c>
      <c r="B265" s="3">
        <v>45722</v>
      </c>
      <c r="C265" t="s">
        <v>26</v>
      </c>
      <c r="D265" t="str">
        <f>_xlfn.XLOOKUP(TB_Venda[[#This Row],[Código do Produto]],TB_Produto[Código],TB_Produto[Nome do Produto])</f>
        <v>Sandália Rasteira</v>
      </c>
      <c r="E265" t="str">
        <f>VLOOKUP(TB_Venda[[#This Row],[Código do Produto]],TB_Produto[],3,FALSE)</f>
        <v>Calçados</v>
      </c>
      <c r="F265" t="str" cm="1">
        <f t="array" ref="F265">_xlfn.IFS(LEFT(TB_Venda[[#This Row],[Categoria]],5)="Roupa","Roupa",LEFT(TB_Venda[[#This Row],[Categoria]],7)="Calçado","Calçado",1,"Outros")</f>
        <v>Calçado</v>
      </c>
      <c r="G265" t="s">
        <v>72</v>
      </c>
      <c r="H265" s="1">
        <v>1</v>
      </c>
      <c r="I265" s="4">
        <v>394.46959999999996</v>
      </c>
      <c r="J265" t="s">
        <v>92</v>
      </c>
    </row>
    <row r="266" spans="1:10" x14ac:dyDescent="0.25">
      <c r="A266" t="s">
        <v>367</v>
      </c>
      <c r="B266" s="3">
        <v>45750</v>
      </c>
      <c r="C266" t="s">
        <v>28</v>
      </c>
      <c r="D266" t="str">
        <f>_xlfn.XLOOKUP(TB_Venda[[#This Row],[Código do Produto]],TB_Produto[Código],TB_Produto[Nome do Produto])</f>
        <v>Legging Esportiva</v>
      </c>
      <c r="E266" t="str">
        <f>VLOOKUP(TB_Venda[[#This Row],[Código do Produto]],TB_Produto[],3,FALSE)</f>
        <v>Roupas Femininas</v>
      </c>
      <c r="F266" t="str" cm="1">
        <f t="array" ref="F266">_xlfn.IFS(LEFT(TB_Venda[[#This Row],[Categoria]],5)="Roupa","Roupa",LEFT(TB_Venda[[#This Row],[Categoria]],7)="Calçado","Calçado",1,"Outros")</f>
        <v>Roupa</v>
      </c>
      <c r="G266" t="s">
        <v>80</v>
      </c>
      <c r="H266" s="1">
        <v>2</v>
      </c>
      <c r="I266" s="4">
        <v>354.71929999999998</v>
      </c>
      <c r="J266" t="s">
        <v>92</v>
      </c>
    </row>
    <row r="267" spans="1:10" x14ac:dyDescent="0.25">
      <c r="A267" t="s">
        <v>368</v>
      </c>
      <c r="B267" s="3">
        <v>45765</v>
      </c>
      <c r="C267" t="s">
        <v>5</v>
      </c>
      <c r="D267" t="str">
        <f>_xlfn.XLOOKUP(TB_Venda[[#This Row],[Código do Produto]],TB_Produto[Código],TB_Produto[Nome do Produto])</f>
        <v>Tênis Esportivo</v>
      </c>
      <c r="E267" t="str">
        <f>VLOOKUP(TB_Venda[[#This Row],[Código do Produto]],TB_Produto[],3,FALSE)</f>
        <v>Calçados</v>
      </c>
      <c r="F267" t="str" cm="1">
        <f t="array" ref="F267">_xlfn.IFS(LEFT(TB_Venda[[#This Row],[Categoria]],5)="Roupa","Roupa",LEFT(TB_Venda[[#This Row],[Categoria]],7)="Calçado","Calçado",1,"Outros")</f>
        <v>Calçado</v>
      </c>
      <c r="G267" t="s">
        <v>80</v>
      </c>
      <c r="H267" s="1">
        <v>3</v>
      </c>
      <c r="I267" s="4">
        <v>420.40180000000004</v>
      </c>
      <c r="J267" t="s">
        <v>92</v>
      </c>
    </row>
    <row r="268" spans="1:10" x14ac:dyDescent="0.25">
      <c r="A268" t="s">
        <v>369</v>
      </c>
      <c r="B268" s="3">
        <v>45709</v>
      </c>
      <c r="C268" t="s">
        <v>6</v>
      </c>
      <c r="D268" t="str">
        <f>_xlfn.XLOOKUP(TB_Venda[[#This Row],[Código do Produto]],TB_Produto[Código],TB_Produto[Nome do Produto])</f>
        <v>Camisa Polo</v>
      </c>
      <c r="E268" t="str">
        <f>VLOOKUP(TB_Venda[[#This Row],[Código do Produto]],TB_Produto[],3,FALSE)</f>
        <v>Camisaria</v>
      </c>
      <c r="F268" t="str" cm="1">
        <f t="array" ref="F268">_xlfn.IFS(LEFT(TB_Venda[[#This Row],[Categoria]],5)="Roupa","Roupa",LEFT(TB_Venda[[#This Row],[Categoria]],7)="Calçado","Calçado",1,"Outros")</f>
        <v>Outros</v>
      </c>
      <c r="G268" t="s">
        <v>72</v>
      </c>
      <c r="H268" s="1">
        <v>4</v>
      </c>
      <c r="I268" s="4">
        <v>249.15439999999998</v>
      </c>
      <c r="J268" t="s">
        <v>92</v>
      </c>
    </row>
    <row r="269" spans="1:10" x14ac:dyDescent="0.25">
      <c r="A269" t="s">
        <v>370</v>
      </c>
      <c r="B269" s="3">
        <v>45686</v>
      </c>
      <c r="C269" t="s">
        <v>16</v>
      </c>
      <c r="D269" t="str">
        <f>_xlfn.XLOOKUP(TB_Venda[[#This Row],[Código do Produto]],TB_Produto[Código],TB_Produto[Nome do Produto])</f>
        <v>Shorts Jeans</v>
      </c>
      <c r="E269" t="str">
        <f>VLOOKUP(TB_Venda[[#This Row],[Código do Produto]],TB_Produto[],3,FALSE)</f>
        <v>Roupas Femininas</v>
      </c>
      <c r="F269" t="str" cm="1">
        <f t="array" ref="F269">_xlfn.IFS(LEFT(TB_Venda[[#This Row],[Categoria]],5)="Roupa","Roupa",LEFT(TB_Venda[[#This Row],[Categoria]],7)="Calçado","Calçado",1,"Outros")</f>
        <v>Roupa</v>
      </c>
      <c r="G269" t="s">
        <v>73</v>
      </c>
      <c r="H269" s="1">
        <v>4</v>
      </c>
      <c r="I269" s="4">
        <v>207.45509999999999</v>
      </c>
      <c r="J269" t="s">
        <v>92</v>
      </c>
    </row>
    <row r="270" spans="1:10" x14ac:dyDescent="0.25">
      <c r="A270" t="s">
        <v>371</v>
      </c>
      <c r="B270" s="3">
        <v>45807</v>
      </c>
      <c r="C270" t="s">
        <v>9</v>
      </c>
      <c r="D270" t="str">
        <f>_xlfn.XLOOKUP(TB_Venda[[#This Row],[Código do Produto]],TB_Produto[Código],TB_Produto[Nome do Produto])</f>
        <v>Vestido Longo</v>
      </c>
      <c r="E270" t="str">
        <f>VLOOKUP(TB_Venda[[#This Row],[Código do Produto]],TB_Produto[],3,FALSE)</f>
        <v>Roupas Femininas</v>
      </c>
      <c r="F270" t="str" cm="1">
        <f t="array" ref="F270">_xlfn.IFS(LEFT(TB_Venda[[#This Row],[Categoria]],5)="Roupa","Roupa",LEFT(TB_Venda[[#This Row],[Categoria]],7)="Calçado","Calçado",1,"Outros")</f>
        <v>Roupa</v>
      </c>
      <c r="G270" t="s">
        <v>72</v>
      </c>
      <c r="H270" s="1">
        <v>2</v>
      </c>
      <c r="I270" s="4">
        <v>79.873200000000011</v>
      </c>
      <c r="J270" t="s">
        <v>92</v>
      </c>
    </row>
    <row r="271" spans="1:10" x14ac:dyDescent="0.25">
      <c r="A271" t="s">
        <v>372</v>
      </c>
      <c r="B271" s="3">
        <v>45759</v>
      </c>
      <c r="C271" t="s">
        <v>31</v>
      </c>
      <c r="D271" t="str">
        <f>_xlfn.XLOOKUP(TB_Venda[[#This Row],[Código do Produto]],TB_Produto[Código],TB_Produto[Nome do Produto])</f>
        <v>Sapato Social</v>
      </c>
      <c r="E271" t="str">
        <f>VLOOKUP(TB_Venda[[#This Row],[Código do Produto]],TB_Produto[],3,FALSE)</f>
        <v>Calçados</v>
      </c>
      <c r="F271" t="str" cm="1">
        <f t="array" ref="F271">_xlfn.IFS(LEFT(TB_Venda[[#This Row],[Categoria]],5)="Roupa","Roupa",LEFT(TB_Venda[[#This Row],[Categoria]],7)="Calçado","Calçado",1,"Outros")</f>
        <v>Calçado</v>
      </c>
      <c r="G271" t="s">
        <v>78</v>
      </c>
      <c r="H271" s="1">
        <v>5</v>
      </c>
      <c r="I271" s="4">
        <v>268.30420000000004</v>
      </c>
      <c r="J271" t="s">
        <v>95</v>
      </c>
    </row>
    <row r="272" spans="1:10" x14ac:dyDescent="0.25">
      <c r="A272" t="s">
        <v>373</v>
      </c>
      <c r="B272" s="3">
        <v>45742</v>
      </c>
      <c r="C272" t="s">
        <v>31</v>
      </c>
      <c r="D272" t="str">
        <f>_xlfn.XLOOKUP(TB_Venda[[#This Row],[Código do Produto]],TB_Produto[Código],TB_Produto[Nome do Produto])</f>
        <v>Sapato Social</v>
      </c>
      <c r="E272" t="str">
        <f>VLOOKUP(TB_Venda[[#This Row],[Código do Produto]],TB_Produto[],3,FALSE)</f>
        <v>Calçados</v>
      </c>
      <c r="F272" t="str" cm="1">
        <f t="array" ref="F272">_xlfn.IFS(LEFT(TB_Venda[[#This Row],[Categoria]],5)="Roupa","Roupa",LEFT(TB_Venda[[#This Row],[Categoria]],7)="Calçado","Calçado",1,"Outros")</f>
        <v>Calçado</v>
      </c>
      <c r="G272" t="s">
        <v>75</v>
      </c>
      <c r="H272" s="1">
        <v>3</v>
      </c>
      <c r="I272" s="4">
        <v>265.44990000000001</v>
      </c>
      <c r="J272" t="s">
        <v>94</v>
      </c>
    </row>
    <row r="273" spans="1:10" x14ac:dyDescent="0.25">
      <c r="A273" t="s">
        <v>374</v>
      </c>
      <c r="B273" s="3">
        <v>45823</v>
      </c>
      <c r="C273" t="s">
        <v>27</v>
      </c>
      <c r="D273" t="str">
        <f>_xlfn.XLOOKUP(TB_Venda[[#This Row],[Código do Produto]],TB_Produto[Código],TB_Produto[Nome do Produto])</f>
        <v>Top Fitness</v>
      </c>
      <c r="E273" t="str">
        <f>VLOOKUP(TB_Venda[[#This Row],[Código do Produto]],TB_Produto[],3,FALSE)</f>
        <v>Roupas Femininas</v>
      </c>
      <c r="F273" t="str" cm="1">
        <f t="array" ref="F273">_xlfn.IFS(LEFT(TB_Venda[[#This Row],[Categoria]],5)="Roupa","Roupa",LEFT(TB_Venda[[#This Row],[Categoria]],7)="Calçado","Calçado",1,"Outros")</f>
        <v>Roupa</v>
      </c>
      <c r="G273" t="s">
        <v>73</v>
      </c>
      <c r="H273" s="1">
        <v>1</v>
      </c>
      <c r="I273" s="4">
        <v>83.427399999999992</v>
      </c>
      <c r="J273" t="s">
        <v>92</v>
      </c>
    </row>
    <row r="274" spans="1:10" x14ac:dyDescent="0.25">
      <c r="A274" t="s">
        <v>375</v>
      </c>
      <c r="B274" s="3">
        <v>45695</v>
      </c>
      <c r="C274" t="s">
        <v>29</v>
      </c>
      <c r="D274" t="str">
        <f>_xlfn.XLOOKUP(TB_Venda[[#This Row],[Código do Produto]],TB_Produto[Código],TB_Produto[Nome do Produto])</f>
        <v>Camisa de Time</v>
      </c>
      <c r="E274" t="str">
        <f>VLOOKUP(TB_Venda[[#This Row],[Código do Produto]],TB_Produto[],3,FALSE)</f>
        <v>Roupas Masculinas</v>
      </c>
      <c r="F274" t="str" cm="1">
        <f t="array" ref="F274">_xlfn.IFS(LEFT(TB_Venda[[#This Row],[Categoria]],5)="Roupa","Roupa",LEFT(TB_Venda[[#This Row],[Categoria]],7)="Calçado","Calçado",1,"Outros")</f>
        <v>Roupa</v>
      </c>
      <c r="G274" t="s">
        <v>77</v>
      </c>
      <c r="H274" s="1">
        <v>3</v>
      </c>
      <c r="I274" s="4">
        <v>213.8458</v>
      </c>
      <c r="J274" t="s">
        <v>96</v>
      </c>
    </row>
    <row r="275" spans="1:10" x14ac:dyDescent="0.25">
      <c r="A275" t="s">
        <v>376</v>
      </c>
      <c r="B275" s="3">
        <v>45746</v>
      </c>
      <c r="C275" t="s">
        <v>29</v>
      </c>
      <c r="D275" t="str">
        <f>_xlfn.XLOOKUP(TB_Venda[[#This Row],[Código do Produto]],TB_Produto[Código],TB_Produto[Nome do Produto])</f>
        <v>Camisa de Time</v>
      </c>
      <c r="E275" t="str">
        <f>VLOOKUP(TB_Venda[[#This Row],[Código do Produto]],TB_Produto[],3,FALSE)</f>
        <v>Roupas Masculinas</v>
      </c>
      <c r="F275" t="str" cm="1">
        <f t="array" ref="F275">_xlfn.IFS(LEFT(TB_Venda[[#This Row],[Categoria]],5)="Roupa","Roupa",LEFT(TB_Venda[[#This Row],[Categoria]],7)="Calçado","Calçado",1,"Outros")</f>
        <v>Roupa</v>
      </c>
      <c r="G275" t="s">
        <v>76</v>
      </c>
      <c r="H275" s="1">
        <v>5</v>
      </c>
      <c r="I275" s="4">
        <v>198.5711</v>
      </c>
      <c r="J275" t="s">
        <v>95</v>
      </c>
    </row>
    <row r="276" spans="1:10" x14ac:dyDescent="0.25">
      <c r="A276" t="s">
        <v>377</v>
      </c>
      <c r="B276" s="3">
        <v>45812</v>
      </c>
      <c r="C276" t="s">
        <v>34</v>
      </c>
      <c r="D276" t="str">
        <f>_xlfn.XLOOKUP(TB_Venda[[#This Row],[Código do Produto]],TB_Produto[Código],TB_Produto[Nome do Produto])</f>
        <v>Vestido Estampado</v>
      </c>
      <c r="E276" t="str">
        <f>VLOOKUP(TB_Venda[[#This Row],[Código do Produto]],TB_Produto[],3,FALSE)</f>
        <v>Roupas Femininas</v>
      </c>
      <c r="F276" t="str" cm="1">
        <f t="array" ref="F276">_xlfn.IFS(LEFT(TB_Venda[[#This Row],[Categoria]],5)="Roupa","Roupa",LEFT(TB_Venda[[#This Row],[Categoria]],7)="Calçado","Calçado",1,"Outros")</f>
        <v>Roupa</v>
      </c>
      <c r="G276" t="s">
        <v>78</v>
      </c>
      <c r="H276" s="1">
        <v>4</v>
      </c>
      <c r="I276" s="4">
        <v>326.69010000000003</v>
      </c>
      <c r="J276" t="s">
        <v>95</v>
      </c>
    </row>
    <row r="277" spans="1:10" x14ac:dyDescent="0.25">
      <c r="A277" t="s">
        <v>378</v>
      </c>
      <c r="B277" s="3">
        <v>45759</v>
      </c>
      <c r="C277" t="s">
        <v>28</v>
      </c>
      <c r="D277" t="str">
        <f>_xlfn.XLOOKUP(TB_Venda[[#This Row],[Código do Produto]],TB_Produto[Código],TB_Produto[Nome do Produto])</f>
        <v>Legging Esportiva</v>
      </c>
      <c r="E277" t="str">
        <f>VLOOKUP(TB_Venda[[#This Row],[Código do Produto]],TB_Produto[],3,FALSE)</f>
        <v>Roupas Femininas</v>
      </c>
      <c r="F277" t="str" cm="1">
        <f t="array" ref="F277">_xlfn.IFS(LEFT(TB_Venda[[#This Row],[Categoria]],5)="Roupa","Roupa",LEFT(TB_Venda[[#This Row],[Categoria]],7)="Calçado","Calçado",1,"Outros")</f>
        <v>Roupa</v>
      </c>
      <c r="G277" t="s">
        <v>74</v>
      </c>
      <c r="H277" s="1">
        <v>2</v>
      </c>
      <c r="I277" s="4">
        <v>336.4348</v>
      </c>
      <c r="J277" t="s">
        <v>93</v>
      </c>
    </row>
    <row r="278" spans="1:10" x14ac:dyDescent="0.25">
      <c r="A278" t="s">
        <v>379</v>
      </c>
      <c r="B278" s="3">
        <v>45803</v>
      </c>
      <c r="C278" t="s">
        <v>25</v>
      </c>
      <c r="D278" t="str">
        <f>_xlfn.XLOOKUP(TB_Venda[[#This Row],[Código do Produto]],TB_Produto[Código],TB_Produto[Nome do Produto])</f>
        <v>Jaqueta Corta-Vento</v>
      </c>
      <c r="E278" t="str">
        <f>VLOOKUP(TB_Venda[[#This Row],[Código do Produto]],TB_Produto[],3,FALSE)</f>
        <v>Roupas Unissex</v>
      </c>
      <c r="F278" t="str" cm="1">
        <f t="array" ref="F278">_xlfn.IFS(LEFT(TB_Venda[[#This Row],[Categoria]],5)="Roupa","Roupa",LEFT(TB_Venda[[#This Row],[Categoria]],7)="Calçado","Calçado",1,"Outros")</f>
        <v>Roupa</v>
      </c>
      <c r="G278" t="s">
        <v>80</v>
      </c>
      <c r="H278" s="1">
        <v>1</v>
      </c>
      <c r="I278" s="4">
        <v>141.55199999999999</v>
      </c>
      <c r="J278" t="s">
        <v>92</v>
      </c>
    </row>
    <row r="279" spans="1:10" x14ac:dyDescent="0.25">
      <c r="A279" t="s">
        <v>380</v>
      </c>
      <c r="B279" s="3">
        <v>45830</v>
      </c>
      <c r="C279" t="s">
        <v>26</v>
      </c>
      <c r="D279" t="str">
        <f>_xlfn.XLOOKUP(TB_Venda[[#This Row],[Código do Produto]],TB_Produto[Código],TB_Produto[Nome do Produto])</f>
        <v>Sandália Rasteira</v>
      </c>
      <c r="E279" t="str">
        <f>VLOOKUP(TB_Venda[[#This Row],[Código do Produto]],TB_Produto[],3,FALSE)</f>
        <v>Calçados</v>
      </c>
      <c r="F279" t="str" cm="1">
        <f t="array" ref="F279">_xlfn.IFS(LEFT(TB_Venda[[#This Row],[Categoria]],5)="Roupa","Roupa",LEFT(TB_Venda[[#This Row],[Categoria]],7)="Calçado","Calçado",1,"Outros")</f>
        <v>Calçado</v>
      </c>
      <c r="G279" t="s">
        <v>81</v>
      </c>
      <c r="H279" s="1">
        <v>5</v>
      </c>
      <c r="I279" s="4">
        <v>390.44439999999997</v>
      </c>
      <c r="J279" t="s">
        <v>96</v>
      </c>
    </row>
    <row r="280" spans="1:10" x14ac:dyDescent="0.25">
      <c r="A280" t="s">
        <v>381</v>
      </c>
      <c r="B280" s="3">
        <v>45702</v>
      </c>
      <c r="C280" t="s">
        <v>28</v>
      </c>
      <c r="D280" t="str">
        <f>_xlfn.XLOOKUP(TB_Venda[[#This Row],[Código do Produto]],TB_Produto[Código],TB_Produto[Nome do Produto])</f>
        <v>Legging Esportiva</v>
      </c>
      <c r="E280" t="str">
        <f>VLOOKUP(TB_Venda[[#This Row],[Código do Produto]],TB_Produto[],3,FALSE)</f>
        <v>Roupas Femininas</v>
      </c>
      <c r="F280" t="str" cm="1">
        <f t="array" ref="F280">_xlfn.IFS(LEFT(TB_Venda[[#This Row],[Categoria]],5)="Roupa","Roupa",LEFT(TB_Venda[[#This Row],[Categoria]],7)="Calçado","Calçado",1,"Outros")</f>
        <v>Roupa</v>
      </c>
      <c r="G280" t="s">
        <v>78</v>
      </c>
      <c r="H280" s="1">
        <v>2</v>
      </c>
      <c r="I280" s="4">
        <v>329.12099999999998</v>
      </c>
      <c r="J280" t="s">
        <v>95</v>
      </c>
    </row>
    <row r="281" spans="1:10" x14ac:dyDescent="0.25">
      <c r="A281" t="s">
        <v>382</v>
      </c>
      <c r="B281" s="3">
        <v>45822</v>
      </c>
      <c r="C281" t="s">
        <v>27</v>
      </c>
      <c r="D281" t="str">
        <f>_xlfn.XLOOKUP(TB_Venda[[#This Row],[Código do Produto]],TB_Produto[Código],TB_Produto[Nome do Produto])</f>
        <v>Top Fitness</v>
      </c>
      <c r="E281" t="str">
        <f>VLOOKUP(TB_Venda[[#This Row],[Código do Produto]],TB_Produto[],3,FALSE)</f>
        <v>Roupas Femininas</v>
      </c>
      <c r="F281" t="str" cm="1">
        <f t="array" ref="F281">_xlfn.IFS(LEFT(TB_Venda[[#This Row],[Categoria]],5)="Roupa","Roupa",LEFT(TB_Venda[[#This Row],[Categoria]],7)="Calçado","Calçado",1,"Outros")</f>
        <v>Roupa</v>
      </c>
      <c r="G281" t="s">
        <v>80</v>
      </c>
      <c r="H281" s="1">
        <v>5</v>
      </c>
      <c r="I281" s="4">
        <v>77.468299999999999</v>
      </c>
      <c r="J281" t="s">
        <v>92</v>
      </c>
    </row>
    <row r="282" spans="1:10" x14ac:dyDescent="0.25">
      <c r="A282" t="s">
        <v>383</v>
      </c>
      <c r="B282" s="3">
        <v>45752</v>
      </c>
      <c r="C282" t="s">
        <v>25</v>
      </c>
      <c r="D282" t="str">
        <f>_xlfn.XLOOKUP(TB_Venda[[#This Row],[Código do Produto]],TB_Produto[Código],TB_Produto[Nome do Produto])</f>
        <v>Jaqueta Corta-Vento</v>
      </c>
      <c r="E282" t="str">
        <f>VLOOKUP(TB_Venda[[#This Row],[Código do Produto]],TB_Produto[],3,FALSE)</f>
        <v>Roupas Unissex</v>
      </c>
      <c r="F282" t="str" cm="1">
        <f t="array" ref="F282">_xlfn.IFS(LEFT(TB_Venda[[#This Row],[Categoria]],5)="Roupa","Roupa",LEFT(TB_Venda[[#This Row],[Categoria]],7)="Calçado","Calçado",1,"Outros")</f>
        <v>Roupa</v>
      </c>
      <c r="G282" t="s">
        <v>72</v>
      </c>
      <c r="H282" s="1">
        <v>3</v>
      </c>
      <c r="I282" s="4">
        <v>146.2704</v>
      </c>
      <c r="J282" t="s">
        <v>92</v>
      </c>
    </row>
    <row r="283" spans="1:10" x14ac:dyDescent="0.25">
      <c r="A283" t="s">
        <v>384</v>
      </c>
      <c r="B283" s="3">
        <v>45678</v>
      </c>
      <c r="C283" t="s">
        <v>34</v>
      </c>
      <c r="D283" t="str">
        <f>_xlfn.XLOOKUP(TB_Venda[[#This Row],[Código do Produto]],TB_Produto[Código],TB_Produto[Nome do Produto])</f>
        <v>Vestido Estampado</v>
      </c>
      <c r="E283" t="str">
        <f>VLOOKUP(TB_Venda[[#This Row],[Código do Produto]],TB_Produto[],3,FALSE)</f>
        <v>Roupas Femininas</v>
      </c>
      <c r="F283" t="str" cm="1">
        <f t="array" ref="F283">_xlfn.IFS(LEFT(TB_Venda[[#This Row],[Categoria]],5)="Roupa","Roupa",LEFT(TB_Venda[[#This Row],[Categoria]],7)="Calçado","Calçado",1,"Outros")</f>
        <v>Roupa</v>
      </c>
      <c r="G283" t="s">
        <v>78</v>
      </c>
      <c r="H283" s="1">
        <v>4</v>
      </c>
      <c r="I283" s="4">
        <v>300.29090000000002</v>
      </c>
      <c r="J283" t="s">
        <v>95</v>
      </c>
    </row>
    <row r="284" spans="1:10" x14ac:dyDescent="0.25">
      <c r="A284" t="s">
        <v>385</v>
      </c>
      <c r="B284" s="3">
        <v>45706</v>
      </c>
      <c r="C284" t="s">
        <v>12</v>
      </c>
      <c r="D284" t="str">
        <f>_xlfn.XLOOKUP(TB_Venda[[#This Row],[Código do Produto]],TB_Produto[Código],TB_Produto[Nome do Produto])</f>
        <v>Calça Jeans Masculina</v>
      </c>
      <c r="E284" t="str">
        <f>VLOOKUP(TB_Venda[[#This Row],[Código do Produto]],TB_Produto[],3,FALSE)</f>
        <v>Roupas Masculinas</v>
      </c>
      <c r="F284" t="str" cm="1">
        <f t="array" ref="F284">_xlfn.IFS(LEFT(TB_Venda[[#This Row],[Categoria]],5)="Roupa","Roupa",LEFT(TB_Venda[[#This Row],[Categoria]],7)="Calçado","Calçado",1,"Outros")</f>
        <v>Roupa</v>
      </c>
      <c r="G284" t="s">
        <v>75</v>
      </c>
      <c r="H284" s="1">
        <v>5</v>
      </c>
      <c r="I284" s="4">
        <v>218.97899999999998</v>
      </c>
      <c r="J284" t="s">
        <v>94</v>
      </c>
    </row>
    <row r="285" spans="1:10" x14ac:dyDescent="0.25">
      <c r="A285" t="s">
        <v>386</v>
      </c>
      <c r="B285" s="3">
        <v>45743</v>
      </c>
      <c r="C285" t="s">
        <v>10</v>
      </c>
      <c r="D285" t="str">
        <f>_xlfn.XLOOKUP(TB_Venda[[#This Row],[Código do Produto]],TB_Produto[Código],TB_Produto[Nome do Produto])</f>
        <v>Jaqueta Jeans</v>
      </c>
      <c r="E285" t="str">
        <f>VLOOKUP(TB_Venda[[#This Row],[Código do Produto]],TB_Produto[],3,FALSE)</f>
        <v>Roupas Unissex</v>
      </c>
      <c r="F285" t="str" cm="1">
        <f t="array" ref="F285">_xlfn.IFS(LEFT(TB_Venda[[#This Row],[Categoria]],5)="Roupa","Roupa",LEFT(TB_Venda[[#This Row],[Categoria]],7)="Calçado","Calçado",1,"Outros")</f>
        <v>Roupa</v>
      </c>
      <c r="G285" t="s">
        <v>78</v>
      </c>
      <c r="H285" s="1">
        <v>4</v>
      </c>
      <c r="I285" s="4">
        <v>256.46199999999999</v>
      </c>
      <c r="J285" t="s">
        <v>95</v>
      </c>
    </row>
    <row r="286" spans="1:10" x14ac:dyDescent="0.25">
      <c r="A286" t="s">
        <v>387</v>
      </c>
      <c r="B286" s="3">
        <v>45681</v>
      </c>
      <c r="C286" t="s">
        <v>26</v>
      </c>
      <c r="D286" t="str">
        <f>_xlfn.XLOOKUP(TB_Venda[[#This Row],[Código do Produto]],TB_Produto[Código],TB_Produto[Nome do Produto])</f>
        <v>Sandália Rasteira</v>
      </c>
      <c r="E286" t="str">
        <f>VLOOKUP(TB_Venda[[#This Row],[Código do Produto]],TB_Produto[],3,FALSE)</f>
        <v>Calçados</v>
      </c>
      <c r="F286" t="str" cm="1">
        <f t="array" ref="F286">_xlfn.IFS(LEFT(TB_Venda[[#This Row],[Categoria]],5)="Roupa","Roupa",LEFT(TB_Venda[[#This Row],[Categoria]],7)="Calçado","Calçado",1,"Outros")</f>
        <v>Calçado</v>
      </c>
      <c r="G286" t="s">
        <v>75</v>
      </c>
      <c r="H286" s="1">
        <v>2</v>
      </c>
      <c r="I286" s="4">
        <v>382.39400000000001</v>
      </c>
      <c r="J286" t="s">
        <v>94</v>
      </c>
    </row>
    <row r="287" spans="1:10" x14ac:dyDescent="0.25">
      <c r="A287" t="s">
        <v>388</v>
      </c>
      <c r="B287" s="3">
        <v>45698</v>
      </c>
      <c r="C287" t="s">
        <v>13</v>
      </c>
      <c r="D287" t="str">
        <f>_xlfn.XLOOKUP(TB_Venda[[#This Row],[Código do Produto]],TB_Produto[Código],TB_Produto[Nome do Produto])</f>
        <v>Saia Midi</v>
      </c>
      <c r="E287" t="str">
        <f>VLOOKUP(TB_Venda[[#This Row],[Código do Produto]],TB_Produto[],3,FALSE)</f>
        <v>Roupas Femininas</v>
      </c>
      <c r="F287" t="str" cm="1">
        <f t="array" ref="F287">_xlfn.IFS(LEFT(TB_Venda[[#This Row],[Categoria]],5)="Roupa","Roupa",LEFT(TB_Venda[[#This Row],[Categoria]],7)="Calçado","Calçado",1,"Outros")</f>
        <v>Roupa</v>
      </c>
      <c r="G287" t="s">
        <v>80</v>
      </c>
      <c r="H287" s="1">
        <v>2</v>
      </c>
      <c r="I287" s="4">
        <v>204.09479999999999</v>
      </c>
      <c r="J287" t="s">
        <v>92</v>
      </c>
    </row>
    <row r="288" spans="1:10" x14ac:dyDescent="0.25">
      <c r="A288" t="s">
        <v>389</v>
      </c>
      <c r="B288" s="3">
        <v>45769</v>
      </c>
      <c r="C288" t="s">
        <v>31</v>
      </c>
      <c r="D288" t="str">
        <f>_xlfn.XLOOKUP(TB_Venda[[#This Row],[Código do Produto]],TB_Produto[Código],TB_Produto[Nome do Produto])</f>
        <v>Sapato Social</v>
      </c>
      <c r="E288" t="str">
        <f>VLOOKUP(TB_Venda[[#This Row],[Código do Produto]],TB_Produto[],3,FALSE)</f>
        <v>Calçados</v>
      </c>
      <c r="F288" t="str" cm="1">
        <f t="array" ref="F288">_xlfn.IFS(LEFT(TB_Venda[[#This Row],[Categoria]],5)="Roupa","Roupa",LEFT(TB_Venda[[#This Row],[Categoria]],7)="Calçado","Calçado",1,"Outros")</f>
        <v>Calçado</v>
      </c>
      <c r="G288" t="s">
        <v>81</v>
      </c>
      <c r="H288" s="1">
        <v>5</v>
      </c>
      <c r="I288" s="4">
        <v>265.44990000000001</v>
      </c>
      <c r="J288" t="s">
        <v>96</v>
      </c>
    </row>
    <row r="289" spans="1:10" x14ac:dyDescent="0.25">
      <c r="A289" t="s">
        <v>390</v>
      </c>
      <c r="B289" s="3">
        <v>45804</v>
      </c>
      <c r="C289" t="s">
        <v>13</v>
      </c>
      <c r="D289" t="str">
        <f>_xlfn.XLOOKUP(TB_Venda[[#This Row],[Código do Produto]],TB_Produto[Código],TB_Produto[Nome do Produto])</f>
        <v>Saia Midi</v>
      </c>
      <c r="E289" t="str">
        <f>VLOOKUP(TB_Venda[[#This Row],[Código do Produto]],TB_Produto[],3,FALSE)</f>
        <v>Roupas Femininas</v>
      </c>
      <c r="F289" t="str" cm="1">
        <f t="array" ref="F289">_xlfn.IFS(LEFT(TB_Venda[[#This Row],[Categoria]],5)="Roupa","Roupa",LEFT(TB_Venda[[#This Row],[Categoria]],7)="Calçado","Calçado",1,"Outros")</f>
        <v>Roupa</v>
      </c>
      <c r="G289" t="s">
        <v>73</v>
      </c>
      <c r="H289" s="1">
        <v>3</v>
      </c>
      <c r="I289" s="4">
        <v>197.84699999999998</v>
      </c>
      <c r="J289" t="s">
        <v>92</v>
      </c>
    </row>
    <row r="290" spans="1:10" x14ac:dyDescent="0.25">
      <c r="A290" t="s">
        <v>391</v>
      </c>
      <c r="B290" s="3">
        <v>45797</v>
      </c>
      <c r="C290" t="s">
        <v>9</v>
      </c>
      <c r="D290" t="str">
        <f>_xlfn.XLOOKUP(TB_Venda[[#This Row],[Código do Produto]],TB_Produto[Código],TB_Produto[Nome do Produto])</f>
        <v>Vestido Longo</v>
      </c>
      <c r="E290" t="str">
        <f>VLOOKUP(TB_Venda[[#This Row],[Código do Produto]],TB_Produto[],3,FALSE)</f>
        <v>Roupas Femininas</v>
      </c>
      <c r="F290" t="str" cm="1">
        <f t="array" ref="F290">_xlfn.IFS(LEFT(TB_Venda[[#This Row],[Categoria]],5)="Roupa","Roupa",LEFT(TB_Venda[[#This Row],[Categoria]],7)="Calçado","Calçado",1,"Outros")</f>
        <v>Roupa</v>
      </c>
      <c r="G290" t="s">
        <v>76</v>
      </c>
      <c r="H290" s="1">
        <v>5</v>
      </c>
      <c r="I290" s="4">
        <v>75.03240000000001</v>
      </c>
      <c r="J290" t="s">
        <v>95</v>
      </c>
    </row>
    <row r="291" spans="1:10" x14ac:dyDescent="0.25">
      <c r="A291" t="s">
        <v>392</v>
      </c>
      <c r="B291" s="3">
        <v>45822</v>
      </c>
      <c r="C291" t="s">
        <v>28</v>
      </c>
      <c r="D291" t="str">
        <f>_xlfn.XLOOKUP(TB_Venda[[#This Row],[Código do Produto]],TB_Produto[Código],TB_Produto[Nome do Produto])</f>
        <v>Legging Esportiva</v>
      </c>
      <c r="E291" t="str">
        <f>VLOOKUP(TB_Venda[[#This Row],[Código do Produto]],TB_Produto[],3,FALSE)</f>
        <v>Roupas Femininas</v>
      </c>
      <c r="F291" t="str" cm="1">
        <f t="array" ref="F291">_xlfn.IFS(LEFT(TB_Venda[[#This Row],[Categoria]],5)="Roupa","Roupa",LEFT(TB_Venda[[#This Row],[Categoria]],7)="Calçado","Calçado",1,"Outros")</f>
        <v>Roupa</v>
      </c>
      <c r="G291" t="s">
        <v>75</v>
      </c>
      <c r="H291" s="1">
        <v>4</v>
      </c>
      <c r="I291" s="4">
        <v>347.40550000000002</v>
      </c>
      <c r="J291" t="s">
        <v>94</v>
      </c>
    </row>
    <row r="292" spans="1:10" x14ac:dyDescent="0.25">
      <c r="A292" t="s">
        <v>393</v>
      </c>
      <c r="B292" s="3">
        <v>45794</v>
      </c>
      <c r="C292" t="s">
        <v>30</v>
      </c>
      <c r="D292" t="str">
        <f>_xlfn.XLOOKUP(TB_Venda[[#This Row],[Código do Produto]],TB_Produto[Código],TB_Produto[Nome do Produto])</f>
        <v>Tênis Corrida</v>
      </c>
      <c r="E292" t="str">
        <f>VLOOKUP(TB_Venda[[#This Row],[Código do Produto]],TB_Produto[],3,FALSE)</f>
        <v>Calçados</v>
      </c>
      <c r="F292" t="str" cm="1">
        <f t="array" ref="F292">_xlfn.IFS(LEFT(TB_Venda[[#This Row],[Categoria]],5)="Roupa","Roupa",LEFT(TB_Venda[[#This Row],[Categoria]],7)="Calçado","Calçado",1,"Outros")</f>
        <v>Calçado</v>
      </c>
      <c r="G292" t="s">
        <v>74</v>
      </c>
      <c r="H292" s="1">
        <v>4</v>
      </c>
      <c r="I292" s="4">
        <v>152.81700000000001</v>
      </c>
      <c r="J292" t="s">
        <v>93</v>
      </c>
    </row>
    <row r="293" spans="1:10" x14ac:dyDescent="0.25">
      <c r="A293" t="s">
        <v>394</v>
      </c>
      <c r="B293" s="3">
        <v>45739</v>
      </c>
      <c r="C293" t="s">
        <v>12</v>
      </c>
      <c r="D293" t="str">
        <f>_xlfn.XLOOKUP(TB_Venda[[#This Row],[Código do Produto]],TB_Produto[Código],TB_Produto[Nome do Produto])</f>
        <v>Calça Jeans Masculina</v>
      </c>
      <c r="E293" t="str">
        <f>VLOOKUP(TB_Venda[[#This Row],[Código do Produto]],TB_Produto[],3,FALSE)</f>
        <v>Roupas Masculinas</v>
      </c>
      <c r="F293" t="str" cm="1">
        <f t="array" ref="F293">_xlfn.IFS(LEFT(TB_Venda[[#This Row],[Categoria]],5)="Roupa","Roupa",LEFT(TB_Venda[[#This Row],[Categoria]],7)="Calçado","Calçado",1,"Outros")</f>
        <v>Roupa</v>
      </c>
      <c r="G293" t="s">
        <v>77</v>
      </c>
      <c r="H293" s="1">
        <v>2</v>
      </c>
      <c r="I293" s="4">
        <v>240.87690000000001</v>
      </c>
      <c r="J293" t="s">
        <v>96</v>
      </c>
    </row>
    <row r="294" spans="1:10" x14ac:dyDescent="0.25">
      <c r="A294" t="s">
        <v>395</v>
      </c>
      <c r="B294" s="3">
        <v>45791</v>
      </c>
      <c r="C294" t="s">
        <v>23</v>
      </c>
      <c r="D294" t="str">
        <f>_xlfn.XLOOKUP(TB_Venda[[#This Row],[Código do Produto]],TB_Produto[Código],TB_Produto[Nome do Produto])</f>
        <v>Moletom Unissex</v>
      </c>
      <c r="E294" t="str">
        <f>VLOOKUP(TB_Venda[[#This Row],[Código do Produto]],TB_Produto[],3,FALSE)</f>
        <v>Roupas Unissex</v>
      </c>
      <c r="F294" t="str" cm="1">
        <f t="array" ref="F294">_xlfn.IFS(LEFT(TB_Venda[[#This Row],[Categoria]],5)="Roupa","Roupa",LEFT(TB_Venda[[#This Row],[Categoria]],7)="Calçado","Calçado",1,"Outros")</f>
        <v>Roupa</v>
      </c>
      <c r="G294" t="s">
        <v>74</v>
      </c>
      <c r="H294" s="1">
        <v>4</v>
      </c>
      <c r="I294" s="4">
        <v>200.4975</v>
      </c>
      <c r="J294" t="s">
        <v>93</v>
      </c>
    </row>
    <row r="295" spans="1:10" x14ac:dyDescent="0.25">
      <c r="A295" t="s">
        <v>396</v>
      </c>
      <c r="B295" s="3">
        <v>45732</v>
      </c>
      <c r="C295" t="s">
        <v>30</v>
      </c>
      <c r="D295" t="str">
        <f>_xlfn.XLOOKUP(TB_Venda[[#This Row],[Código do Produto]],TB_Produto[Código],TB_Produto[Nome do Produto])</f>
        <v>Tênis Corrida</v>
      </c>
      <c r="E295" t="str">
        <f>VLOOKUP(TB_Venda[[#This Row],[Código do Produto]],TB_Produto[],3,FALSE)</f>
        <v>Calçados</v>
      </c>
      <c r="F295" t="str" cm="1">
        <f t="array" ref="F295">_xlfn.IFS(LEFT(TB_Venda[[#This Row],[Categoria]],5)="Roupa","Roupa",LEFT(TB_Venda[[#This Row],[Categoria]],7)="Calçado","Calçado",1,"Outros")</f>
        <v>Calçado</v>
      </c>
      <c r="G295" t="s">
        <v>79</v>
      </c>
      <c r="H295" s="1">
        <v>1</v>
      </c>
      <c r="I295" s="4">
        <v>151.20840000000001</v>
      </c>
      <c r="J295" t="s">
        <v>96</v>
      </c>
    </row>
    <row r="296" spans="1:10" x14ac:dyDescent="0.25">
      <c r="A296" t="s">
        <v>397</v>
      </c>
      <c r="B296" s="3">
        <v>45835</v>
      </c>
      <c r="C296" t="s">
        <v>5</v>
      </c>
      <c r="D296" t="str">
        <f>_xlfn.XLOOKUP(TB_Venda[[#This Row],[Código do Produto]],TB_Produto[Código],TB_Produto[Nome do Produto])</f>
        <v>Tênis Esportivo</v>
      </c>
      <c r="E296" t="str">
        <f>VLOOKUP(TB_Venda[[#This Row],[Código do Produto]],TB_Produto[],3,FALSE)</f>
        <v>Calçados</v>
      </c>
      <c r="F296" t="str" cm="1">
        <f t="array" ref="F296">_xlfn.IFS(LEFT(TB_Venda[[#This Row],[Categoria]],5)="Roupa","Roupa",LEFT(TB_Venda[[#This Row],[Categoria]],7)="Calçado","Calçado",1,"Outros")</f>
        <v>Calçado</v>
      </c>
      <c r="G296" t="s">
        <v>75</v>
      </c>
      <c r="H296" s="1">
        <v>2</v>
      </c>
      <c r="I296" s="4">
        <v>434.26120000000003</v>
      </c>
      <c r="J296" t="s">
        <v>94</v>
      </c>
    </row>
    <row r="297" spans="1:10" x14ac:dyDescent="0.25">
      <c r="A297" t="s">
        <v>398</v>
      </c>
      <c r="B297" s="3">
        <v>45706</v>
      </c>
      <c r="C297" t="s">
        <v>8</v>
      </c>
      <c r="D297" t="str">
        <f>_xlfn.XLOOKUP(TB_Venda[[#This Row],[Código do Produto]],TB_Produto[Código],TB_Produto[Nome do Produto])</f>
        <v>Sandália Casual</v>
      </c>
      <c r="E297" t="str">
        <f>VLOOKUP(TB_Venda[[#This Row],[Código do Produto]],TB_Produto[],3,FALSE)</f>
        <v>Calçados</v>
      </c>
      <c r="F297" t="str" cm="1">
        <f t="array" ref="F297">_xlfn.IFS(LEFT(TB_Venda[[#This Row],[Categoria]],5)="Roupa","Roupa",LEFT(TB_Venda[[#This Row],[Categoria]],7)="Calçado","Calçado",1,"Outros")</f>
        <v>Calçado</v>
      </c>
      <c r="G297" t="s">
        <v>80</v>
      </c>
      <c r="H297" s="1">
        <v>3</v>
      </c>
      <c r="I297" s="4">
        <v>399.88350000000003</v>
      </c>
      <c r="J297" t="s">
        <v>92</v>
      </c>
    </row>
    <row r="298" spans="1:10" x14ac:dyDescent="0.25">
      <c r="A298" t="s">
        <v>399</v>
      </c>
      <c r="B298" s="3">
        <v>45804</v>
      </c>
      <c r="C298" t="s">
        <v>31</v>
      </c>
      <c r="D298" t="str">
        <f>_xlfn.XLOOKUP(TB_Venda[[#This Row],[Código do Produto]],TB_Produto[Código],TB_Produto[Nome do Produto])</f>
        <v>Sapato Social</v>
      </c>
      <c r="E298" t="str">
        <f>VLOOKUP(TB_Venda[[#This Row],[Código do Produto]],TB_Produto[],3,FALSE)</f>
        <v>Calçados</v>
      </c>
      <c r="F298" t="str" cm="1">
        <f t="array" ref="F298">_xlfn.IFS(LEFT(TB_Venda[[#This Row],[Categoria]],5)="Roupa","Roupa",LEFT(TB_Venda[[#This Row],[Categoria]],7)="Calçado","Calçado",1,"Outros")</f>
        <v>Calçado</v>
      </c>
      <c r="G298" t="s">
        <v>76</v>
      </c>
      <c r="H298" s="1">
        <v>2</v>
      </c>
      <c r="I298" s="4">
        <v>282.57569999999998</v>
      </c>
      <c r="J298" t="s">
        <v>95</v>
      </c>
    </row>
    <row r="299" spans="1:10" x14ac:dyDescent="0.25">
      <c r="A299" t="s">
        <v>400</v>
      </c>
      <c r="B299" s="3">
        <v>45780</v>
      </c>
      <c r="C299" t="s">
        <v>8</v>
      </c>
      <c r="D299" t="str">
        <f>_xlfn.XLOOKUP(TB_Venda[[#This Row],[Código do Produto]],TB_Produto[Código],TB_Produto[Nome do Produto])</f>
        <v>Sandália Casual</v>
      </c>
      <c r="E299" t="str">
        <f>VLOOKUP(TB_Venda[[#This Row],[Código do Produto]],TB_Produto[],3,FALSE)</f>
        <v>Calçados</v>
      </c>
      <c r="F299" t="str" cm="1">
        <f t="array" ref="F299">_xlfn.IFS(LEFT(TB_Venda[[#This Row],[Categoria]],5)="Roupa","Roupa",LEFT(TB_Venda[[#This Row],[Categoria]],7)="Calçado","Calçado",1,"Outros")</f>
        <v>Calçado</v>
      </c>
      <c r="G299" t="s">
        <v>79</v>
      </c>
      <c r="H299" s="1">
        <v>3</v>
      </c>
      <c r="I299" s="4">
        <v>416.72070000000002</v>
      </c>
      <c r="J299" t="s">
        <v>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E0000"/>
  </sheetPr>
  <dimension ref="A1:F11"/>
  <sheetViews>
    <sheetView zoomScale="140" zoomScaleNormal="140" workbookViewId="0">
      <selection activeCell="D3" sqref="D3"/>
    </sheetView>
  </sheetViews>
  <sheetFormatPr defaultColWidth="9.140625" defaultRowHeight="15" x14ac:dyDescent="0.25"/>
  <cols>
    <col min="1" max="1" width="13.5703125" customWidth="1"/>
    <col min="2" max="2" width="19.5703125" customWidth="1"/>
    <col min="3" max="3" width="13" bestFit="1" customWidth="1"/>
    <col min="4" max="4" width="25" customWidth="1"/>
    <col min="5" max="5" width="23" customWidth="1"/>
    <col min="6" max="6" width="26.140625" customWidth="1"/>
  </cols>
  <sheetData>
    <row r="1" spans="1:6" s="6" customFormat="1" x14ac:dyDescent="0.25">
      <c r="A1" s="5" t="s">
        <v>69</v>
      </c>
      <c r="B1" s="5" t="s">
        <v>70</v>
      </c>
      <c r="C1" s="5" t="s">
        <v>71</v>
      </c>
      <c r="D1" s="5" t="s">
        <v>101</v>
      </c>
      <c r="E1" s="5" t="s">
        <v>404</v>
      </c>
      <c r="F1" s="5" t="s">
        <v>405</v>
      </c>
    </row>
    <row r="2" spans="1:6" x14ac:dyDescent="0.25">
      <c r="A2" t="s">
        <v>81</v>
      </c>
      <c r="B2" t="s">
        <v>91</v>
      </c>
      <c r="C2" t="s">
        <v>96</v>
      </c>
      <c r="D2" s="1">
        <f>SUMIF(TB_Venda[Matrícula do Vendedor],TB_Vendedor[[#This Row],[Matrícula]],TB_Venda[Quantidade Vendida])</f>
        <v>71</v>
      </c>
      <c r="E2" s="1">
        <f>COUNTIF(TB_Venda[Matrícula do Vendedor],TB_Vendedor[[#This Row],[Matrícula]])</f>
        <v>22</v>
      </c>
      <c r="F2" s="1">
        <f>COUNTIFS(TB_Venda[Matrícula do Vendedor],TB_Vendedor[[#This Row],[Matrícula]],TB_Venda[Categoria Simplificada],"Calçado")</f>
        <v>10</v>
      </c>
    </row>
    <row r="3" spans="1:6" x14ac:dyDescent="0.25">
      <c r="A3" t="s">
        <v>74</v>
      </c>
      <c r="B3" t="s">
        <v>84</v>
      </c>
      <c r="C3" t="s">
        <v>93</v>
      </c>
      <c r="D3" s="1">
        <f>SUMIF(TB_Venda[Matrícula do Vendedor],TB_Vendedor[[#This Row],[Matrícula]],TB_Venda[Quantidade Vendida])</f>
        <v>85</v>
      </c>
      <c r="E3" s="1">
        <f>COUNTIF(TB_Venda[Matrícula do Vendedor],TB_Vendedor[[#This Row],[Matrícula]])</f>
        <v>30</v>
      </c>
      <c r="F3" s="1">
        <f>COUNTIFS(TB_Venda[Matrícula do Vendedor],TB_Vendedor[[#This Row],[Matrícula]],TB_Venda[Categoria Simplificada],"Calçado")</f>
        <v>13</v>
      </c>
    </row>
    <row r="4" spans="1:6" x14ac:dyDescent="0.25">
      <c r="A4" t="s">
        <v>80</v>
      </c>
      <c r="B4" t="s">
        <v>90</v>
      </c>
      <c r="C4" t="s">
        <v>92</v>
      </c>
      <c r="D4" s="1">
        <f>SUMIF(TB_Venda[Matrícula do Vendedor],TB_Vendedor[[#This Row],[Matrícula]],TB_Venda[Quantidade Vendida])</f>
        <v>86</v>
      </c>
      <c r="E4" s="1">
        <f>COUNTIF(TB_Venda[Matrícula do Vendedor],TB_Vendedor[[#This Row],[Matrícula]])</f>
        <v>30</v>
      </c>
      <c r="F4" s="1">
        <f>COUNTIFS(TB_Venda[Matrícula do Vendedor],TB_Vendedor[[#This Row],[Matrícula]],TB_Venda[Categoria Simplificada],"Calçado")</f>
        <v>10</v>
      </c>
    </row>
    <row r="5" spans="1:6" x14ac:dyDescent="0.25">
      <c r="A5" t="s">
        <v>72</v>
      </c>
      <c r="B5" t="s">
        <v>82</v>
      </c>
      <c r="C5" t="s">
        <v>92</v>
      </c>
      <c r="D5" s="1">
        <f>SUMIF(TB_Venda[Matrícula do Vendedor],TB_Vendedor[[#This Row],[Matrícula]],TB_Venda[Quantidade Vendida])</f>
        <v>88</v>
      </c>
      <c r="E5" s="1">
        <f>COUNTIF(TB_Venda[Matrícula do Vendedor],TB_Vendedor[[#This Row],[Matrícula]])</f>
        <v>32</v>
      </c>
      <c r="F5" s="1">
        <f>COUNTIFS(TB_Venda[Matrícula do Vendedor],TB_Vendedor[[#This Row],[Matrícula]],TB_Venda[Categoria Simplificada],"Calçado")</f>
        <v>12</v>
      </c>
    </row>
    <row r="6" spans="1:6" x14ac:dyDescent="0.25">
      <c r="A6" t="s">
        <v>73</v>
      </c>
      <c r="B6" t="s">
        <v>83</v>
      </c>
      <c r="C6" t="s">
        <v>92</v>
      </c>
      <c r="D6" s="1">
        <f>SUMIF(TB_Venda[Matrícula do Vendedor],TB_Vendedor[[#This Row],[Matrícula]],TB_Venda[Quantidade Vendida])</f>
        <v>92</v>
      </c>
      <c r="E6" s="1">
        <f>COUNTIF(TB_Venda[Matrícula do Vendedor],TB_Vendedor[[#This Row],[Matrícula]])</f>
        <v>30</v>
      </c>
      <c r="F6" s="1">
        <f>COUNTIFS(TB_Venda[Matrícula do Vendedor],TB_Vendedor[[#This Row],[Matrícula]],TB_Venda[Categoria Simplificada],"Calçado")</f>
        <v>11</v>
      </c>
    </row>
    <row r="7" spans="1:6" x14ac:dyDescent="0.25">
      <c r="A7" t="s">
        <v>75</v>
      </c>
      <c r="B7" t="s">
        <v>85</v>
      </c>
      <c r="C7" t="s">
        <v>94</v>
      </c>
      <c r="D7" s="1">
        <f>SUMIF(TB_Venda[Matrícula do Vendedor],TB_Vendedor[[#This Row],[Matrícula]],TB_Venda[Quantidade Vendida])</f>
        <v>94</v>
      </c>
      <c r="E7" s="1">
        <f>COUNTIF(TB_Venda[Matrícula do Vendedor],TB_Vendedor[[#This Row],[Matrícula]])</f>
        <v>31</v>
      </c>
      <c r="F7" s="1">
        <f>COUNTIFS(TB_Venda[Matrícula do Vendedor],TB_Vendedor[[#This Row],[Matrícula]],TB_Venda[Categoria Simplificada],"Calçado")</f>
        <v>12</v>
      </c>
    </row>
    <row r="8" spans="1:6" x14ac:dyDescent="0.25">
      <c r="A8" t="s">
        <v>78</v>
      </c>
      <c r="B8" t="s">
        <v>88</v>
      </c>
      <c r="C8" t="s">
        <v>95</v>
      </c>
      <c r="D8" s="1">
        <f>SUMIF(TB_Venda[Matrícula do Vendedor],TB_Vendedor[[#This Row],[Matrícula]],TB_Venda[Quantidade Vendida])</f>
        <v>94</v>
      </c>
      <c r="E8" s="1">
        <f>COUNTIF(TB_Venda[Matrícula do Vendedor],TB_Vendedor[[#This Row],[Matrícula]])</f>
        <v>28</v>
      </c>
      <c r="F8" s="1">
        <f>COUNTIFS(TB_Venda[Matrícula do Vendedor],TB_Vendedor[[#This Row],[Matrícula]],TB_Venda[Categoria Simplificada],"Calçado")</f>
        <v>8</v>
      </c>
    </row>
    <row r="9" spans="1:6" x14ac:dyDescent="0.25">
      <c r="A9" t="s">
        <v>76</v>
      </c>
      <c r="B9" t="s">
        <v>86</v>
      </c>
      <c r="C9" t="s">
        <v>95</v>
      </c>
      <c r="D9" s="1">
        <f>SUMIF(TB_Venda[Matrícula do Vendedor],TB_Vendedor[[#This Row],[Matrícula]],TB_Venda[Quantidade Vendida])</f>
        <v>91</v>
      </c>
      <c r="E9" s="1">
        <f>COUNTIF(TB_Venda[Matrícula do Vendedor],TB_Vendedor[[#This Row],[Matrícula]])</f>
        <v>30</v>
      </c>
      <c r="F9" s="1">
        <f>COUNTIFS(TB_Venda[Matrícula do Vendedor],TB_Vendedor[[#This Row],[Matrícula]],TB_Venda[Categoria Simplificada],"Calçado")</f>
        <v>9</v>
      </c>
    </row>
    <row r="10" spans="1:6" x14ac:dyDescent="0.25">
      <c r="A10" t="s">
        <v>77</v>
      </c>
      <c r="B10" t="s">
        <v>87</v>
      </c>
      <c r="C10" t="s">
        <v>96</v>
      </c>
      <c r="D10" s="1">
        <f>SUMIF(TB_Venda[Matrícula do Vendedor],TB_Vendedor[[#This Row],[Matrícula]],TB_Venda[Quantidade Vendida])</f>
        <v>100</v>
      </c>
      <c r="E10" s="1">
        <f>COUNTIF(TB_Venda[Matrícula do Vendedor],TB_Vendedor[[#This Row],[Matrícula]])</f>
        <v>31</v>
      </c>
      <c r="F10" s="1">
        <f>COUNTIFS(TB_Venda[Matrícula do Vendedor],TB_Vendedor[[#This Row],[Matrícula]],TB_Venda[Categoria Simplificada],"Calçado")</f>
        <v>11</v>
      </c>
    </row>
    <row r="11" spans="1:6" x14ac:dyDescent="0.25">
      <c r="A11" t="s">
        <v>79</v>
      </c>
      <c r="B11" t="s">
        <v>89</v>
      </c>
      <c r="C11" t="s">
        <v>96</v>
      </c>
      <c r="D11" s="1">
        <f>SUMIF(TB_Venda[Matrícula do Vendedor],TB_Vendedor[[#This Row],[Matrícula]],TB_Venda[Quantidade Vendida])</f>
        <v>100</v>
      </c>
      <c r="E11" s="1">
        <f>COUNTIF(TB_Venda[Matrícula do Vendedor],TB_Vendedor[[#This Row],[Matrícula]])</f>
        <v>34</v>
      </c>
      <c r="F11" s="1">
        <f>COUNTIFS(TB_Venda[Matrícula do Vendedor],TB_Vendedor[[#This Row],[Matrícula]],TB_Venda[Categoria Simplificada],"Calçado")</f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73EA-AE61-4474-894D-739153C10A07}">
  <sheetPr>
    <tabColor rgb="FFEE0000"/>
  </sheetPr>
  <dimension ref="A1:B3"/>
  <sheetViews>
    <sheetView workbookViewId="0">
      <selection activeCell="A2" sqref="A2"/>
    </sheetView>
  </sheetViews>
  <sheetFormatPr defaultRowHeight="15" x14ac:dyDescent="0.25"/>
  <cols>
    <col min="1" max="1" width="18" bestFit="1" customWidth="1"/>
    <col min="2" max="2" width="27.85546875" bestFit="1" customWidth="1"/>
    <col min="3" max="146" width="10.7109375" bestFit="1" customWidth="1"/>
  </cols>
  <sheetData>
    <row r="1" spans="1:2" x14ac:dyDescent="0.25">
      <c r="A1" s="9" t="s">
        <v>407</v>
      </c>
      <c r="B1" t="s">
        <v>406</v>
      </c>
    </row>
    <row r="2" spans="1:2" x14ac:dyDescent="0.25">
      <c r="A2" s="10" t="s">
        <v>409</v>
      </c>
      <c r="B2" s="11">
        <v>182</v>
      </c>
    </row>
    <row r="3" spans="1:2" x14ac:dyDescent="0.25">
      <c r="A3" s="10" t="s">
        <v>408</v>
      </c>
      <c r="B3" s="11">
        <v>182</v>
      </c>
    </row>
  </sheetData>
  <pageMargins left="0.511811024" right="0.511811024" top="0.78740157499999996" bottom="0.78740157499999996" header="0.31496062000000002" footer="0.31496062000000002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FFF0-69A9-4F1D-B49E-31EC442C24F8}">
  <sheetPr>
    <tabColor rgb="FFEE0000"/>
  </sheetPr>
  <dimension ref="A3:B9"/>
  <sheetViews>
    <sheetView tabSelected="1" workbookViewId="0">
      <selection activeCell="B22" sqref="B22"/>
    </sheetView>
  </sheetViews>
  <sheetFormatPr defaultRowHeight="15" x14ac:dyDescent="0.25"/>
  <cols>
    <col min="1" max="1" width="18" bestFit="1" customWidth="1"/>
    <col min="2" max="2" width="27.85546875" bestFit="1" customWidth="1"/>
  </cols>
  <sheetData>
    <row r="3" spans="1:2" x14ac:dyDescent="0.25">
      <c r="A3" s="9" t="s">
        <v>407</v>
      </c>
      <c r="B3" t="s">
        <v>406</v>
      </c>
    </row>
    <row r="4" spans="1:2" x14ac:dyDescent="0.25">
      <c r="A4" s="10" t="s">
        <v>95</v>
      </c>
      <c r="B4" s="11">
        <v>185</v>
      </c>
    </row>
    <row r="5" spans="1:2" x14ac:dyDescent="0.25">
      <c r="A5" s="10" t="s">
        <v>92</v>
      </c>
      <c r="B5" s="11">
        <v>266</v>
      </c>
    </row>
    <row r="6" spans="1:2" x14ac:dyDescent="0.25">
      <c r="A6" s="10" t="s">
        <v>96</v>
      </c>
      <c r="B6" s="11">
        <v>271</v>
      </c>
    </row>
    <row r="7" spans="1:2" x14ac:dyDescent="0.25">
      <c r="A7" s="10" t="s">
        <v>94</v>
      </c>
      <c r="B7" s="11">
        <v>94</v>
      </c>
    </row>
    <row r="8" spans="1:2" x14ac:dyDescent="0.25">
      <c r="A8" s="10" t="s">
        <v>93</v>
      </c>
      <c r="B8" s="11">
        <v>85</v>
      </c>
    </row>
    <row r="9" spans="1:2" x14ac:dyDescent="0.25">
      <c r="A9" s="10" t="s">
        <v>408</v>
      </c>
      <c r="B9" s="11">
        <v>901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B38D5DE2643E479ADB27BB94316BC4" ma:contentTypeVersion="16" ma:contentTypeDescription="Crie um novo documento." ma:contentTypeScope="" ma:versionID="4c153f50bab7f0313be19d9109f02847">
  <xsd:schema xmlns:xsd="http://www.w3.org/2001/XMLSchema" xmlns:xs="http://www.w3.org/2001/XMLSchema" xmlns:p="http://schemas.microsoft.com/office/2006/metadata/properties" xmlns:ns2="9fa97099-07b4-43a8-a32b-76b40d207aa6" xmlns:ns3="a7f4a7b7-966e-48e5-a98f-43d258599049" targetNamespace="http://schemas.microsoft.com/office/2006/metadata/properties" ma:root="true" ma:fieldsID="e2ca8599f1488e0c983be54031ac7c71" ns2:_="" ns3:_="">
    <xsd:import namespace="9fa97099-07b4-43a8-a32b-76b40d207aa6"/>
    <xsd:import namespace="a7f4a7b7-966e-48e5-a98f-43d258599049"/>
    <xsd:element name="properties">
      <xsd:complexType>
        <xsd:sequence>
          <xsd:element name="documentManagement">
            <xsd:complexType>
              <xsd:all>
                <xsd:element ref="ns2:Escol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97099-07b4-43a8-a32b-76b40d207aa6" elementFormDefault="qualified">
    <xsd:import namespace="http://schemas.microsoft.com/office/2006/documentManagement/types"/>
    <xsd:import namespace="http://schemas.microsoft.com/office/infopath/2007/PartnerControls"/>
    <xsd:element name="Escola" ma:index="8" nillable="true" ma:displayName="Categoria" ma:format="Dropdown" ma:internalName="Escola">
      <xsd:simpleType>
        <xsd:restriction base="dms:Choice">
          <xsd:enumeration value="Front-end"/>
          <xsd:enumeration value="Programação"/>
          <xsd:enumeration value="Mobile"/>
          <xsd:enumeration value="DevOps"/>
          <xsd:enumeration value="Data Science"/>
          <xsd:enumeration value="Inovação &amp; Gestão"/>
          <xsd:enumeration value="UX &amp; Design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4a7b7-966e-48e5-a98f-43d25859904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e0fff59-1010-4890-bf85-4725663ab365}" ma:internalName="TaxCatchAll" ma:showField="CatchAllData" ma:web="a7f4a7b7-966e-48e5-a98f-43d258599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a97099-07b4-43a8-a32b-76b40d207aa6">
      <Terms xmlns="http://schemas.microsoft.com/office/infopath/2007/PartnerControls"/>
    </lcf76f155ced4ddcb4097134ff3c332f>
    <TaxCatchAll xmlns="a7f4a7b7-966e-48e5-a98f-43d258599049" xsi:nil="true"/>
    <Escola xmlns="9fa97099-07b4-43a8-a32b-76b40d207aa6" xsi:nil="true"/>
  </documentManagement>
</p:properties>
</file>

<file path=customXml/itemProps1.xml><?xml version="1.0" encoding="utf-8"?>
<ds:datastoreItem xmlns:ds="http://schemas.openxmlformats.org/officeDocument/2006/customXml" ds:itemID="{C6085B30-8248-4460-8520-93694CD4BAD2}"/>
</file>

<file path=customXml/itemProps2.xml><?xml version="1.0" encoding="utf-8"?>
<ds:datastoreItem xmlns:ds="http://schemas.openxmlformats.org/officeDocument/2006/customXml" ds:itemID="{DEA48BCF-A150-4C66-92F5-3B65752E3320}"/>
</file>

<file path=customXml/itemProps3.xml><?xml version="1.0" encoding="utf-8"?>
<ds:datastoreItem xmlns:ds="http://schemas.openxmlformats.org/officeDocument/2006/customXml" ds:itemID="{71C40495-EDC4-4C63-A802-E0FAFFF309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Gráficos</vt:lpstr>
      </vt:variant>
      <vt:variant>
        <vt:i4>3</vt:i4>
      </vt:variant>
    </vt:vector>
  </HeadingPairs>
  <TitlesOfParts>
    <vt:vector size="8" baseType="lpstr">
      <vt:lpstr>Produtos</vt:lpstr>
      <vt:lpstr>Vendas</vt:lpstr>
      <vt:lpstr>Vendedores</vt:lpstr>
      <vt:lpstr>Dinamica Modelo de Dados</vt:lpstr>
      <vt:lpstr>Dinamica Associada</vt:lpstr>
      <vt:lpstr>Vendas por Vendedor</vt:lpstr>
      <vt:lpstr>Qtd Vendas vs Numero de Vendas</vt:lpstr>
      <vt:lpstr>Série Temporal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Araujo</cp:lastModifiedBy>
  <dcterms:created xsi:type="dcterms:W3CDTF">2025-06-29T23:23:23Z</dcterms:created>
  <dcterms:modified xsi:type="dcterms:W3CDTF">2025-07-07T04:44:48Z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0x010100F7B38D5DE2643E479ADB27BB94316BC4</vt:lpwstr>
  </property>
</Properties>
</file>