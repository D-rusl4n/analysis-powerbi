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Projetos Alura\Storytelling com Excel\"/>
    </mc:Choice>
  </mc:AlternateContent>
  <xr:revisionPtr revIDLastSave="0" documentId="13_ncr:1_{6E700F70-0B7C-4F08-8B67-09A701BDDEE5}" xr6:coauthVersionLast="47" xr6:coauthVersionMax="47" xr10:uidLastSave="{00000000-0000-0000-0000-000000000000}"/>
  <bookViews>
    <workbookView xWindow="38280" yWindow="-120" windowWidth="20640" windowHeight="11760" firstSheet="4" activeTab="7" xr2:uid="{99B1F0EB-F521-48B0-A4B1-97A701B6BCBC}"/>
  </bookViews>
  <sheets>
    <sheet name="TB_Salarios_Func" sheetId="6" r:id="rId1"/>
    <sheet name="Extrato" sheetId="2" r:id="rId2"/>
    <sheet name="Custo Funcionários" sheetId="7" r:id="rId3"/>
    <sheet name="Produtividade Funcionários" sheetId="8" r:id="rId4"/>
    <sheet name="Dinâmica Produt por Func" sheetId="9" r:id="rId5"/>
    <sheet name="PF vs PJ" sheetId="10" r:id="rId6"/>
    <sheet name="Dados Financeiros" sheetId="14" r:id="rId7"/>
    <sheet name="Dashboard" sheetId="12" r:id="rId8"/>
  </sheets>
  <externalReferences>
    <externalReference r:id="rId9"/>
  </externalReferences>
  <definedNames>
    <definedName name="_xlcn.WorksheetConnection_4009DataStorytelling_ExcelDashboard.xlsxExtrato" hidden="1">[1]!Extrato</definedName>
    <definedName name="_xlcn.WorksheetConnection_4009DataStorytelling_ExcelDashboard.xlsxProdutividade_Funcionários" hidden="1">[1]!Produtividade_Funcionários</definedName>
    <definedName name="DadosExternos_1" localSheetId="1" hidden="1">Extrato!$A$1:$F$136</definedName>
    <definedName name="DadosExternos_1" localSheetId="3" hidden="1">'Produtividade Funcionários'!$A$1:$D$25</definedName>
    <definedName name="DadosExternos_2" localSheetId="0" hidden="1">TB_Salarios_Func!$A$1:$I$4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tividade_Funcionários-98af63b8-a543-4f69-a79f-61024cc58a2e" name="Produtividade_Funcionários" connection="WorksheetConnection_4009 - Data Storytelling_Excel - Dashboard.xlsx!Produtividade_Funcionários"/>
          <x15:modelTable id="Extrato-b81c1dd2-1e36-4338-a170-adcb3fb571e3" name="Extrato" connection="WorksheetConnection_4009 - Data Storytelling_Excel - Dashboard.xlsx!Extrato"/>
        </x15:modelTables>
        <x15:extLst>
          <ext xmlns:x16="http://schemas.microsoft.com/office/spreadsheetml/2014/11/main" uri="{9835A34E-60A6-4A7C-AAB8-D5F71C897F49}">
            <x16:modelTimeGroupings>
              <x16:modelTimeGrouping tableName="Extrato" columnName="Data" columnId="Data">
                <x16:calculatedTimeColumn columnName="Data (Ano)" columnId="Data (Ano)" contentType="years" isSelected="1"/>
                <x16:calculatedTimeColumn columnName="Data (Trimestre)" columnId="Data (Trimestre)" contentType="quarters" isSelected="1"/>
                <x16:calculatedTimeColumn columnName="Data (Índice de Mês)" columnId="Data (Índice de Mês)" contentType="monthsindex" isSelected="1"/>
                <x16:calculatedTimeColumn columnName="Data (Mês)" columnId="Dat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2" l="1"/>
  <c r="B4" i="14"/>
  <c r="B2" i="14"/>
  <c r="AR4" i="12"/>
  <c r="M3" i="10" l="1"/>
  <c r="L3" i="10"/>
  <c r="K3" i="10"/>
  <c r="J3" i="10"/>
  <c r="I3" i="10"/>
  <c r="H3" i="10"/>
  <c r="G3" i="10"/>
  <c r="F3" i="10"/>
  <c r="E3" i="10"/>
  <c r="D3" i="10"/>
  <c r="C3" i="10"/>
  <c r="M2" i="10"/>
  <c r="L2" i="10"/>
  <c r="K2" i="10"/>
  <c r="J2" i="10"/>
  <c r="I2" i="10"/>
  <c r="H2" i="10"/>
  <c r="G2" i="10"/>
  <c r="F2" i="10"/>
  <c r="E2" i="10"/>
  <c r="D2" i="10"/>
  <c r="C2" i="10"/>
  <c r="B3" i="10"/>
  <c r="B2" i="10"/>
  <c r="M6" i="10"/>
  <c r="L6" i="10"/>
  <c r="K6" i="10"/>
  <c r="J6" i="10"/>
  <c r="I6" i="10"/>
  <c r="H6" i="10"/>
  <c r="G6" i="10"/>
  <c r="F6" i="10"/>
  <c r="E6" i="10"/>
  <c r="D6" i="10"/>
  <c r="C6" i="10"/>
  <c r="M5" i="10"/>
  <c r="L5" i="10"/>
  <c r="K5" i="10"/>
  <c r="J5" i="10"/>
  <c r="I5" i="10"/>
  <c r="H5" i="10"/>
  <c r="G5" i="10"/>
  <c r="F5" i="10"/>
  <c r="E5" i="10"/>
  <c r="D5" i="10"/>
  <c r="C5" i="10"/>
  <c r="M4" i="10"/>
  <c r="L4" i="10"/>
  <c r="K4" i="10"/>
  <c r="J4" i="10"/>
  <c r="I4" i="10"/>
  <c r="H4" i="10"/>
  <c r="G4" i="10"/>
  <c r="F4" i="10"/>
  <c r="E4" i="10"/>
  <c r="D4" i="10"/>
  <c r="C4" i="10"/>
  <c r="M8" i="10"/>
  <c r="M7" i="10" s="1"/>
  <c r="B6" i="10"/>
  <c r="B4" i="10"/>
  <c r="B5" i="10"/>
  <c r="J3" i="7"/>
  <c r="J4" i="7"/>
  <c r="J5" i="7"/>
  <c r="J6" i="7"/>
  <c r="J7" i="7"/>
  <c r="J8" i="7"/>
  <c r="J9" i="7"/>
  <c r="J10" i="7"/>
  <c r="J11" i="7"/>
  <c r="J12" i="7"/>
  <c r="J13" i="7"/>
  <c r="J2" i="7"/>
  <c r="K13" i="7"/>
  <c r="K12" i="7"/>
  <c r="I3" i="7"/>
  <c r="I4" i="7"/>
  <c r="I5" i="7"/>
  <c r="I6" i="7"/>
  <c r="I7" i="7"/>
  <c r="I8" i="7"/>
  <c r="I9" i="7"/>
  <c r="I10" i="7"/>
  <c r="I11" i="7"/>
  <c r="I12" i="7"/>
  <c r="I13" i="7"/>
  <c r="I2" i="7"/>
  <c r="H3" i="7"/>
  <c r="H4" i="7"/>
  <c r="H5" i="7"/>
  <c r="H6" i="7"/>
  <c r="H7" i="7"/>
  <c r="H8" i="7"/>
  <c r="H9" i="7"/>
  <c r="H10" i="7"/>
  <c r="H11" i="7"/>
  <c r="H12" i="7"/>
  <c r="H13" i="7"/>
  <c r="H2" i="7"/>
  <c r="D4" i="7"/>
  <c r="D5" i="7"/>
  <c r="D3" i="7"/>
  <c r="C4" i="7"/>
  <c r="C5" i="7"/>
  <c r="C3" i="7"/>
  <c r="B4" i="7"/>
  <c r="B5" i="7"/>
  <c r="B3" i="7"/>
  <c r="L10" i="7"/>
  <c r="L11" i="7"/>
  <c r="L12" i="7"/>
  <c r="L13" i="7"/>
  <c r="L2" i="7"/>
  <c r="L3" i="7"/>
  <c r="L4" i="7"/>
  <c r="L5" i="7"/>
  <c r="L6" i="7"/>
  <c r="L7" i="7"/>
  <c r="L8" i="7"/>
  <c r="L9" i="7"/>
  <c r="AC4" i="12" l="1"/>
  <c r="L8" i="10"/>
  <c r="L7" i="10" s="1"/>
  <c r="B8" i="10"/>
  <c r="B7" i="10" s="1"/>
  <c r="D8" i="10"/>
  <c r="D7" i="10" s="1"/>
  <c r="E8" i="10"/>
  <c r="E7" i="10" s="1"/>
  <c r="F8" i="10"/>
  <c r="F7" i="10" s="1"/>
  <c r="K8" i="10"/>
  <c r="K7" i="10" s="1"/>
  <c r="G8" i="10"/>
  <c r="G7" i="10" s="1"/>
  <c r="H8" i="10"/>
  <c r="H7" i="10" s="1"/>
  <c r="I8" i="10"/>
  <c r="I7" i="10" s="1"/>
  <c r="J8" i="10"/>
  <c r="J7" i="10" s="1"/>
  <c r="C8" i="10"/>
  <c r="C7" i="10" s="1"/>
  <c r="E5" i="7"/>
  <c r="D6" i="7"/>
  <c r="B6" i="7"/>
  <c r="C6" i="7"/>
  <c r="E4" i="7"/>
  <c r="E3" i="7"/>
  <c r="E6" i="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C680A4-42D4-47BE-ACCD-18C380866926}" keepAlive="1" name="Consulta - Extrato" description="Conexão com a consulta 'Extrato' na pasta de trabalho." type="5" refreshedVersion="8" background="1" saveData="1">
    <dbPr connection="Provider=Microsoft.Mashup.OleDb.1;Data Source=$Workbook$;Location=Extrato;Extended Properties=&quot;&quot;" command="SELECT * FROM [Extrato]"/>
  </connection>
  <connection id="2" xr16:uid="{1B45A603-6379-4EF7-9EC6-7219E70DC4F9}" keepAlive="1" name="Consulta - Produtividade Funcionários" description="Conexão com a consulta 'Produtividade Funcionários' na pasta de trabalho." type="5" refreshedVersion="8" background="1" saveData="1">
    <dbPr connection="Provider=Microsoft.Mashup.OleDb.1;Data Source=$Workbook$;Location=&quot;Produtividade Funcionários&quot;;Extended Properties=&quot;&quot;" command="SELECT * FROM [Produtividade Funcionários]"/>
  </connection>
  <connection id="3" xr16:uid="{A31BBAC4-2CA5-446E-B911-D3C3C5FDFD6B}" keepAlive="1" name="Consulta - TB_Salarios_Func" description="Conexão com a consulta 'TB_Salarios_Func' na pasta de trabalho." type="5" refreshedVersion="8" background="1" saveData="1">
    <dbPr connection="Provider=Microsoft.Mashup.OleDb.1;Data Source=$Workbook$;Location=TB_Salarios_Func;Extended Properties=&quot;&quot;" command="SELECT * FROM [TB_Salarios_Func]"/>
  </connection>
  <connection id="4" xr16:uid="{AB75906C-278C-42A1-A9DB-B1B984B5E086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9751CC11-C77E-4FBC-9764-EBA835656D18}" name="WorksheetConnection_4009 - Data Storytelling_Excel - Dashboard.xlsx!Extrato" type="102" refreshedVersion="8" minRefreshableVersion="5">
    <extLst>
      <ext xmlns:x15="http://schemas.microsoft.com/office/spreadsheetml/2010/11/main" uri="{DE250136-89BD-433C-8126-D09CA5730AF9}">
        <x15:connection id="Extrato-b81c1dd2-1e36-4338-a170-adcb3fb571e3">
          <x15:rangePr sourceName="_xlcn.WorksheetConnection_4009DataStorytelling_ExcelDashboard.xlsxExtrato"/>
        </x15:connection>
      </ext>
    </extLst>
  </connection>
  <connection id="6" xr16:uid="{B66E5615-3705-4EEC-948B-EB53B51B10EE}" name="WorksheetConnection_4009 - Data Storytelling_Excel - Dashboard.xlsx!Produtividade_Funcionários" type="102" refreshedVersion="8" minRefreshableVersion="5">
    <extLst>
      <ext xmlns:x15="http://schemas.microsoft.com/office/spreadsheetml/2010/11/main" uri="{DE250136-89BD-433C-8126-D09CA5730AF9}">
        <x15:connection id="Produtividade_Funcionários-98af63b8-a543-4f69-a79f-61024cc58a2e">
          <x15:rangePr sourceName="_xlcn.WorksheetConnection_4009DataStorytelling_ExcelDashboard.xlsxProdutividade_Funcionários"/>
        </x15:connection>
      </ext>
    </extLst>
  </connection>
</connections>
</file>

<file path=xl/sharedStrings.xml><?xml version="1.0" encoding="utf-8"?>
<sst xmlns="http://schemas.openxmlformats.org/spreadsheetml/2006/main" count="541" uniqueCount="106">
  <si>
    <t>Data</t>
  </si>
  <si>
    <t>Descrição</t>
  </si>
  <si>
    <t>Valor (R$)</t>
  </si>
  <si>
    <t>Saldo (R$)</t>
  </si>
  <si>
    <t>PAG TRANSF JOAO</t>
  </si>
  <si>
    <t>PAG TRANSF MARTA</t>
  </si>
  <si>
    <t>PAG TRANSF ANA</t>
  </si>
  <si>
    <t>TEF CONTABILIDADE</t>
  </si>
  <si>
    <t>Funcionário</t>
  </si>
  <si>
    <t>Salário mensal</t>
  </si>
  <si>
    <t xml:space="preserve">Vale-Transporte </t>
  </si>
  <si>
    <t>Total Mensal</t>
  </si>
  <si>
    <t>INSS</t>
  </si>
  <si>
    <t>FGTS</t>
  </si>
  <si>
    <t>13o Salário</t>
  </si>
  <si>
    <t>Férias</t>
  </si>
  <si>
    <t>Total</t>
  </si>
  <si>
    <t>João</t>
  </si>
  <si>
    <t>Marta</t>
  </si>
  <si>
    <t>Ana</t>
  </si>
  <si>
    <t>Salário Mensal</t>
  </si>
  <si>
    <t>Encargos</t>
  </si>
  <si>
    <t>Provisão (Férias + 13o)</t>
  </si>
  <si>
    <t>Diferença Mensal</t>
  </si>
  <si>
    <t>Valores Mensais por Funcionário</t>
  </si>
  <si>
    <t>Nome do 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</si>
  <si>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</si>
  <si>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</si>
  <si>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</si>
  <si>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</si>
  <si>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</si>
  <si>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</si>
  <si>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</si>
  <si>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</si>
  <si>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</si>
  <si>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</si>
  <si>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</si>
  <si>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</si>
  <si>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Provisão</t>
  </si>
  <si>
    <t>Dif Contabilidade</t>
  </si>
  <si>
    <t>Mês</t>
  </si>
  <si>
    <t>Qtde de Vendas</t>
  </si>
  <si>
    <t xml:space="preserve">Total  </t>
  </si>
  <si>
    <t>Jan</t>
  </si>
  <si>
    <t>Fev</t>
  </si>
  <si>
    <t>Mar</t>
  </si>
  <si>
    <t>Abr</t>
  </si>
  <si>
    <t>Mai</t>
  </si>
  <si>
    <t>Jun</t>
  </si>
  <si>
    <t>Jul</t>
  </si>
  <si>
    <t>Ago</t>
  </si>
  <si>
    <t>Rótulos de Linha</t>
  </si>
  <si>
    <t>Total Geral</t>
  </si>
  <si>
    <t xml:space="preserve">Soma de Total  </t>
  </si>
  <si>
    <t>Produtividade por Funcionário</t>
  </si>
  <si>
    <t>PAG TIT IMOB</t>
  </si>
  <si>
    <t>PIX LUZ</t>
  </si>
  <si>
    <t>PIX ÁGUA</t>
  </si>
  <si>
    <t>RSHOP FORNECEDOR</t>
  </si>
  <si>
    <t>RSHOP SUPERMERCADO</t>
  </si>
  <si>
    <t>SISPAG TON</t>
  </si>
  <si>
    <t>PAG TIT INTERNET</t>
  </si>
  <si>
    <t>PIX INTERNET</t>
  </si>
  <si>
    <t>PAG TIT LUZ</t>
  </si>
  <si>
    <t>PAG TIT ÁGUA</t>
  </si>
  <si>
    <t>PIX FIT CROSS</t>
  </si>
  <si>
    <t>PIX IMOB</t>
  </si>
  <si>
    <t>PIX LOJA 7</t>
  </si>
  <si>
    <t>PIX LANCHONETE</t>
  </si>
  <si>
    <t>PIX RESTAURANTE</t>
  </si>
  <si>
    <t>PIX CINE Z</t>
  </si>
  <si>
    <t>PIX UBER</t>
  </si>
  <si>
    <t>PIX LOJA</t>
  </si>
  <si>
    <t>PIX FAST FOOD</t>
  </si>
  <si>
    <t>PIX MECÂNICA</t>
  </si>
  <si>
    <t>PIX ROUPAS</t>
  </si>
  <si>
    <t>Categoria de Gasto</t>
  </si>
  <si>
    <t>Gasto Café</t>
  </si>
  <si>
    <t>Pessoal</t>
  </si>
  <si>
    <t>Recebimento</t>
  </si>
  <si>
    <t>Funcionários</t>
  </si>
  <si>
    <t>Contabilidade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</si>
  <si>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</si>
  <si>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</si>
  <si>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</si>
  <si>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</si>
  <si>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</si>
  <si>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</si>
  <si>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</si>
  <si>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</si>
  <si>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</si>
  <si>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</si>
  <si>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</si>
  <si>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</si>
  <si>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Recebimento Líquido</t>
  </si>
  <si>
    <t>Recebimento Café</t>
  </si>
  <si>
    <t>Taxa Selic x Rendimento percentual</t>
  </si>
  <si>
    <t>Lucro liquido mensal</t>
  </si>
  <si>
    <t>Receita x Despesa</t>
  </si>
  <si>
    <t>Faturamento Médio (7 meses)</t>
  </si>
  <si>
    <t>Despesa Média (7 meses)</t>
  </si>
  <si>
    <t>Taxa Selic Anual</t>
  </si>
  <si>
    <t>Rentabilidade Café</t>
  </si>
  <si>
    <t>Rentabilidade Anual Café</t>
  </si>
  <si>
    <t>Rentabilidade Selic</t>
  </si>
  <si>
    <t>Lucro Líquido Médio (7meses)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</si>
</sst>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R$-416]\ * #,##0.00_-;\-[$R$-416]\ * #,##0.00_-;_-[$R$-416]\ * &quot;-&quot;??_-;_-@_-"/>
    <numFmt numFmtId="165" formatCode="&quot;$&quot;\ #,##0.00"/>
    <numFmt numFmtId="166" formatCode="&quot;R$&quot;\ #,##0.00"/>
    <numFmt numFmtId="167" formatCode="0.000%"/>
  </numFmts>
  <fonts count="1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111111"/>
      <name val="Arial Unicode MS"/>
    </font>
    <font>
      <sz val="11"/>
      <color theme="1"/>
      <name val="Aptos Narrow"/>
      <family val="2"/>
      <scheme val="minor"/>
    </font>
    <font>
      <b/>
      <sz val="12"/>
      <color theme="0"/>
      <name val="Barlow"/>
    </font>
    <font>
      <sz val="22"/>
      <color theme="0"/>
      <name val="Barlow"/>
    </font>
    <font>
      <b/>
      <sz val="22"/>
      <color rgb="FFEBC282"/>
      <name val="Barlow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73A3A"/>
        <bgColor indexed="64"/>
      </patternFill>
    </fill>
    <fill>
      <patternFill patternType="solid">
        <fgColor rgb="FF31382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dashed">
        <color theme="0"/>
      </left>
      <right/>
      <top/>
      <bottom/>
      <diagonal/>
    </border>
    <border>
      <left/>
      <right style="dashed">
        <color theme="0"/>
      </right>
      <top/>
      <bottom/>
      <diagonal/>
    </border>
    <border>
      <left style="dashed">
        <color theme="0"/>
      </left>
      <right/>
      <top/>
      <bottom style="dashed">
        <color theme="0"/>
      </bottom>
      <diagonal/>
    </border>
    <border>
      <left/>
      <right/>
      <top/>
      <bottom style="dashed">
        <color theme="0"/>
      </bottom>
      <diagonal/>
    </border>
    <border>
      <left/>
      <right style="dashed">
        <color theme="0"/>
      </right>
      <top/>
      <bottom style="dashed">
        <color theme="0"/>
      </bottom>
      <diagonal/>
    </border>
    <border>
      <left/>
      <right style="dashed">
        <color theme="0"/>
      </right>
      <top style="thin">
        <color theme="0"/>
      </top>
      <bottom/>
      <diagonal/>
    </border>
    <border>
      <left style="dashed">
        <color theme="0"/>
      </left>
      <right/>
      <top style="dashed">
        <color theme="0"/>
      </top>
      <bottom/>
      <diagonal/>
    </border>
    <border>
      <left/>
      <right/>
      <top style="dashed">
        <color theme="0"/>
      </top>
      <bottom/>
      <diagonal/>
    </border>
    <border>
      <left/>
      <right style="thin">
        <color theme="0"/>
      </right>
      <top style="dashed">
        <color theme="0"/>
      </top>
      <bottom/>
      <diagonal/>
    </border>
    <border>
      <left/>
      <right style="dashed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dashed">
        <color theme="0"/>
      </bottom>
      <diagonal/>
    </border>
    <border>
      <left/>
      <right style="dashed">
        <color theme="0"/>
      </right>
      <top style="dashed">
        <color theme="0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70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3" fillId="0" borderId="0" xfId="0" applyFont="1" applyAlignment="1">
      <alignment horizontal="center"/>
    </xf>
    <xf numFmtId="164" fontId="0" fillId="0" borderId="1" xfId="0" applyNumberFormat="1" applyBorder="1"/>
    <xf numFmtId="0" fontId="0" fillId="0" borderId="2" xfId="0" applyBorder="1"/>
    <xf numFmtId="164" fontId="0" fillId="0" borderId="3" xfId="0" applyNumberFormat="1" applyBorder="1"/>
    <xf numFmtId="0" fontId="0" fillId="0" borderId="4" xfId="0" applyBorder="1"/>
    <xf numFmtId="164" fontId="0" fillId="0" borderId="5" xfId="0" applyNumberFormat="1" applyBorder="1"/>
    <xf numFmtId="164" fontId="0" fillId="0" borderId="6" xfId="0" applyNumberFormat="1" applyBorder="1"/>
    <xf numFmtId="0" fontId="1" fillId="2" borderId="10" xfId="0" applyFont="1" applyFill="1" applyBorder="1"/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164" fontId="1" fillId="2" borderId="13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164" fontId="7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9" fillId="0" borderId="0" xfId="0" applyFont="1"/>
    <xf numFmtId="166" fontId="10" fillId="0" borderId="0" xfId="0" applyNumberFormat="1" applyFont="1" applyAlignment="1">
      <alignment vertical="center"/>
    </xf>
    <xf numFmtId="0" fontId="0" fillId="5" borderId="0" xfId="0" applyFill="1"/>
    <xf numFmtId="0" fontId="9" fillId="5" borderId="0" xfId="0" applyFont="1" applyFill="1"/>
    <xf numFmtId="166" fontId="10" fillId="5" borderId="0" xfId="0" applyNumberFormat="1" applyFont="1" applyFill="1" applyAlignment="1">
      <alignment vertical="center"/>
    </xf>
    <xf numFmtId="0" fontId="0" fillId="5" borderId="20" xfId="0" applyFill="1" applyBorder="1"/>
    <xf numFmtId="0" fontId="0" fillId="5" borderId="21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24" xfId="0" applyFill="1" applyBorder="1"/>
    <xf numFmtId="0" fontId="0" fillId="5" borderId="27" xfId="0" applyFill="1" applyBorder="1"/>
    <xf numFmtId="0" fontId="9" fillId="5" borderId="21" xfId="0" applyFont="1" applyFill="1" applyBorder="1"/>
    <xf numFmtId="166" fontId="10" fillId="5" borderId="21" xfId="0" applyNumberFormat="1" applyFont="1" applyFill="1" applyBorder="1" applyAlignment="1">
      <alignment vertical="center"/>
    </xf>
    <xf numFmtId="10" fontId="0" fillId="0" borderId="0" xfId="0" applyNumberFormat="1"/>
    <xf numFmtId="10" fontId="0" fillId="0" borderId="0" xfId="1" applyNumberFormat="1" applyFont="1"/>
    <xf numFmtId="167" fontId="0" fillId="0" borderId="0" xfId="0" applyNumberFormat="1"/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9" fillId="4" borderId="14" xfId="0" applyFont="1" applyFill="1" applyBorder="1" applyAlignment="1">
      <alignment horizontal="center"/>
    </xf>
    <xf numFmtId="0" fontId="9" fillId="4" borderId="15" xfId="0" applyFont="1" applyFill="1" applyBorder="1" applyAlignment="1">
      <alignment horizontal="center"/>
    </xf>
    <xf numFmtId="0" fontId="9" fillId="4" borderId="25" xfId="0" applyFont="1" applyFill="1" applyBorder="1" applyAlignment="1">
      <alignment horizontal="center"/>
    </xf>
    <xf numFmtId="0" fontId="9" fillId="4" borderId="17" xfId="0" applyFont="1" applyFill="1" applyBorder="1" applyAlignment="1">
      <alignment horizontal="center"/>
    </xf>
    <xf numFmtId="0" fontId="9" fillId="4" borderId="18" xfId="0" applyFont="1" applyFill="1" applyBorder="1" applyAlignment="1">
      <alignment horizontal="center"/>
    </xf>
    <xf numFmtId="0" fontId="9" fillId="4" borderId="29" xfId="0" applyFont="1" applyFill="1" applyBorder="1" applyAlignment="1">
      <alignment horizontal="center"/>
    </xf>
    <xf numFmtId="0" fontId="9" fillId="4" borderId="26" xfId="0" applyFont="1" applyFill="1" applyBorder="1" applyAlignment="1">
      <alignment horizontal="center"/>
    </xf>
    <xf numFmtId="0" fontId="9" fillId="4" borderId="27" xfId="0" applyFont="1" applyFill="1" applyBorder="1" applyAlignment="1">
      <alignment horizontal="center"/>
    </xf>
    <xf numFmtId="0" fontId="9" fillId="4" borderId="28" xfId="0" applyFont="1" applyFill="1" applyBorder="1" applyAlignment="1">
      <alignment horizontal="center"/>
    </xf>
    <xf numFmtId="0" fontId="9" fillId="4" borderId="22" xfId="0" applyFont="1" applyFill="1" applyBorder="1" applyAlignment="1">
      <alignment horizontal="center"/>
    </xf>
    <xf numFmtId="0" fontId="9" fillId="4" borderId="23" xfId="0" applyFont="1" applyFill="1" applyBorder="1" applyAlignment="1">
      <alignment horizontal="center"/>
    </xf>
    <xf numFmtId="0" fontId="9" fillId="4" borderId="30" xfId="0" applyFont="1" applyFill="1" applyBorder="1" applyAlignment="1">
      <alignment horizontal="center"/>
    </xf>
    <xf numFmtId="0" fontId="9" fillId="4" borderId="31" xfId="0" applyFont="1" applyFill="1" applyBorder="1" applyAlignment="1">
      <alignment horizontal="center"/>
    </xf>
    <xf numFmtId="0" fontId="9" fillId="4" borderId="24" xfId="0" applyFont="1" applyFill="1" applyBorder="1" applyAlignment="1">
      <alignment horizontal="center"/>
    </xf>
    <xf numFmtId="0" fontId="9" fillId="4" borderId="16" xfId="0" applyFont="1" applyFill="1" applyBorder="1" applyAlignment="1">
      <alignment horizontal="center"/>
    </xf>
    <xf numFmtId="0" fontId="9" fillId="4" borderId="19" xfId="0" applyFont="1" applyFill="1" applyBorder="1" applyAlignment="1">
      <alignment horizontal="center"/>
    </xf>
    <xf numFmtId="166" fontId="11" fillId="4" borderId="20" xfId="0" applyNumberFormat="1" applyFont="1" applyFill="1" applyBorder="1" applyAlignment="1">
      <alignment horizontal="center" vertical="center"/>
    </xf>
    <xf numFmtId="166" fontId="11" fillId="4" borderId="0" xfId="0" applyNumberFormat="1" applyFont="1" applyFill="1" applyAlignment="1">
      <alignment horizontal="center" vertical="center"/>
    </xf>
    <xf numFmtId="166" fontId="11" fillId="4" borderId="21" xfId="0" applyNumberFormat="1" applyFont="1" applyFill="1" applyBorder="1" applyAlignment="1">
      <alignment horizontal="center" vertical="center"/>
    </xf>
    <xf numFmtId="166" fontId="11" fillId="4" borderId="22" xfId="0" applyNumberFormat="1" applyFont="1" applyFill="1" applyBorder="1" applyAlignment="1">
      <alignment horizontal="center" vertical="center"/>
    </xf>
    <xf numFmtId="166" fontId="11" fillId="4" borderId="23" xfId="0" applyNumberFormat="1" applyFont="1" applyFill="1" applyBorder="1" applyAlignment="1">
      <alignment horizontal="center" vertical="center"/>
    </xf>
    <xf numFmtId="166" fontId="11" fillId="4" borderId="24" xfId="0" applyNumberFormat="1" applyFont="1" applyFill="1" applyBorder="1" applyAlignment="1">
      <alignment horizontal="center" vertical="center"/>
    </xf>
    <xf numFmtId="166" fontId="10" fillId="5" borderId="20" xfId="0" applyNumberFormat="1" applyFont="1" applyFill="1" applyBorder="1" applyAlignment="1">
      <alignment horizontal="center" vertical="center"/>
    </xf>
    <xf numFmtId="166" fontId="10" fillId="5" borderId="0" xfId="0" applyNumberFormat="1" applyFont="1" applyFill="1" applyAlignment="1">
      <alignment horizontal="center" vertical="center"/>
    </xf>
    <xf numFmtId="166" fontId="10" fillId="5" borderId="21" xfId="0" applyNumberFormat="1" applyFont="1" applyFill="1" applyBorder="1" applyAlignment="1">
      <alignment horizontal="center" vertical="center"/>
    </xf>
    <xf numFmtId="166" fontId="10" fillId="5" borderId="22" xfId="0" applyNumberFormat="1" applyFont="1" applyFill="1" applyBorder="1" applyAlignment="1">
      <alignment horizontal="center" vertical="center"/>
    </xf>
    <xf numFmtId="166" fontId="10" fillId="5" borderId="23" xfId="0" applyNumberFormat="1" applyFont="1" applyFill="1" applyBorder="1" applyAlignment="1">
      <alignment horizontal="center" vertical="center"/>
    </xf>
    <xf numFmtId="166" fontId="10" fillId="5" borderId="24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17">
    <dxf>
      <numFmt numFmtId="164" formatCode="_-[$R$-416]\ * #,##0.00_-;\-[$R$-416]\ * #,##0.00_-;_-[$R$-416]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0" formatCode="General"/>
    </dxf>
    <dxf>
      <numFmt numFmtId="19" formatCode="dd/mm/yyyy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0" formatCode="General"/>
    </dxf>
  </dxfs>
  <tableStyles count="0" defaultTableStyle="TableStyleMedium2" defaultPivotStyle="PivotStyleLight16"/>
  <colors>
    <mruColors>
      <color rgb="FF373A3A"/>
      <color rgb="FFEBC282"/>
      <color rgb="FF313829"/>
      <color rgb="FF93AB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Pagamento 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'Custo Funcionários'!$H$1</c:f>
              <c:strCache>
                <c:ptCount val="1"/>
                <c:pt idx="0">
                  <c:v>Salário Mensal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 Funcionários'!$G$2:$G$13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'Custo Funcionários'!$H$2:$H$13</c:f>
              <c:numCache>
                <c:formatCode>_-[$R$-416]\ * #,##0.00_-;\-[$R$-416]\ * #,##0.00_-;_-[$R$-416]\ * "-"??_-;_-@_-</c:formatCode>
                <c:ptCount val="12"/>
                <c:pt idx="0">
                  <c:v>9340.34</c:v>
                </c:pt>
                <c:pt idx="1">
                  <c:v>9340.34</c:v>
                </c:pt>
                <c:pt idx="2">
                  <c:v>9340.34</c:v>
                </c:pt>
                <c:pt idx="3">
                  <c:v>9340.34</c:v>
                </c:pt>
                <c:pt idx="4">
                  <c:v>9340.34</c:v>
                </c:pt>
                <c:pt idx="5">
                  <c:v>9340.34</c:v>
                </c:pt>
                <c:pt idx="6">
                  <c:v>9340.34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D7-4DCF-8AE4-0153EF2E440E}"/>
            </c:ext>
          </c:extLst>
        </c:ser>
        <c:ser>
          <c:idx val="1"/>
          <c:order val="1"/>
          <c:tx>
            <c:strRef>
              <c:f>'Custo Funcionários'!$I$1</c:f>
              <c:strCache>
                <c:ptCount val="1"/>
                <c:pt idx="0">
                  <c:v>Dif Contabilidade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 Funcionários'!$G$2:$G$13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'Custo Funcionários'!$I$2:$I$13</c:f>
              <c:numCache>
                <c:formatCode>_-[$R$-416]\ * #,##0.00_-;\-[$R$-416]\ * #,##0.00_-;_-[$R$-416]\ * "-"??_-;_-@_-</c:formatCode>
                <c:ptCount val="12"/>
                <c:pt idx="0">
                  <c:v>2847.98</c:v>
                </c:pt>
                <c:pt idx="1">
                  <c:v>2847.98</c:v>
                </c:pt>
                <c:pt idx="2">
                  <c:v>2847.98</c:v>
                </c:pt>
                <c:pt idx="3">
                  <c:v>2847.98</c:v>
                </c:pt>
                <c:pt idx="4">
                  <c:v>2847.98</c:v>
                </c:pt>
                <c:pt idx="5">
                  <c:v>2847.98</c:v>
                </c:pt>
                <c:pt idx="6">
                  <c:v>2847.98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D7-4DCF-8AE4-0153EF2E440E}"/>
            </c:ext>
          </c:extLst>
        </c:ser>
        <c:ser>
          <c:idx val="2"/>
          <c:order val="2"/>
          <c:tx>
            <c:strRef>
              <c:f>'Custo Funcionários'!$K$1</c:f>
              <c:strCache>
                <c:ptCount val="1"/>
                <c:pt idx="0">
                  <c:v>Provisão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'Custo Funcionários'!$G$2:$G$13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'Custo Funcionários'!$K$2:$K$13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 formatCode="_-[$R$-416]\ * #,##0.00_-;\-[$R$-416]\ * #,##0.00_-;_-[$R$-416]\ * &quot;-&quot;??_-;_-@_-">
                  <c:v>9783.246666666666</c:v>
                </c:pt>
                <c:pt idx="11" formatCode="_-[$R$-416]\ * #,##0.00_-;\-[$R$-416]\ * #,##0.00_-;_-[$R$-416]\ * &quot;-&quot;??_-;_-@_-">
                  <c:v>9783.246666666666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D7-4DCF-8AE4-0153EF2E440E}"/>
            </c:ext>
          </c:extLst>
        </c:ser>
        <c:ser>
          <c:idx val="4"/>
          <c:order val="4"/>
          <c:tx>
            <c:strRef>
              <c:f>'Custo Funcionários'!$J$1</c:f>
              <c:strCache>
                <c:ptCount val="1"/>
                <c:pt idx="0">
                  <c:v>Gasto Café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'Custo Funcionários'!$J$2:$J$13</c:f>
              <c:numCache>
                <c:formatCode>_-[$R$-416]\ * #,##0.00_-;\-[$R$-416]\ * #,##0.00_-;_-[$R$-416]\ * "-"??_-;_-@_-</c:formatCode>
                <c:ptCount val="12"/>
                <c:pt idx="0">
                  <c:v>4610</c:v>
                </c:pt>
                <c:pt idx="1">
                  <c:v>4680</c:v>
                </c:pt>
                <c:pt idx="2">
                  <c:v>4710</c:v>
                </c:pt>
                <c:pt idx="3">
                  <c:v>4410</c:v>
                </c:pt>
                <c:pt idx="4">
                  <c:v>4630</c:v>
                </c:pt>
                <c:pt idx="5">
                  <c:v>4730</c:v>
                </c:pt>
                <c:pt idx="6">
                  <c:v>5395</c:v>
                </c:pt>
                <c:pt idx="7">
                  <c:v>3300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E94-4255-9F82-F7AF7AEF8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34178976"/>
        <c:axId val="1034179456"/>
      </c:barChart>
      <c:lineChart>
        <c:grouping val="standard"/>
        <c:varyColors val="0"/>
        <c:ser>
          <c:idx val="3"/>
          <c:order val="3"/>
          <c:tx>
            <c:strRef>
              <c:f>'Custo Funcionários'!$L$1</c:f>
              <c:strCache>
                <c:ptCount val="1"/>
                <c:pt idx="0">
                  <c:v>Produtividade por Funcionário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 Funcionários'!$G$2:$G$13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'Custo Funcionários'!$L$2:$L$13</c:f>
              <c:numCache>
                <c:formatCode>_-[$R$-416]\ * #,##0.00_-;\-[$R$-416]\ * #,##0.00_-;_-[$R$-416]\ * "-"??_-;_-@_-</c:formatCode>
                <c:ptCount val="12"/>
                <c:pt idx="0">
                  <c:v>20327.510000000002</c:v>
                </c:pt>
                <c:pt idx="1">
                  <c:v>20671</c:v>
                </c:pt>
                <c:pt idx="2">
                  <c:v>20985.010000000002</c:v>
                </c:pt>
                <c:pt idx="3">
                  <c:v>21150</c:v>
                </c:pt>
                <c:pt idx="4">
                  <c:v>21800</c:v>
                </c:pt>
                <c:pt idx="5">
                  <c:v>22100</c:v>
                </c:pt>
                <c:pt idx="6">
                  <c:v>22500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94-4255-9F82-F7AF7AEF8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4178976"/>
        <c:axId val="1034179456"/>
      </c:lineChart>
      <c:catAx>
        <c:axId val="103417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4179456"/>
        <c:crosses val="autoZero"/>
        <c:auto val="1"/>
        <c:lblAlgn val="ctr"/>
        <c:lblOffset val="100"/>
        <c:noMultiLvlLbl val="0"/>
      </c:catAx>
      <c:valAx>
        <c:axId val="103417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417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Gastos PF</a:t>
            </a:r>
            <a:r>
              <a:rPr lang="pt-BR" baseline="0"/>
              <a:t> vs Recebimentos PF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'PF vs PJ'!$A$8</c:f>
              <c:strCache>
                <c:ptCount val="1"/>
                <c:pt idx="0">
                  <c:v>Recebimento Líquido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'PF vs PJ'!$B$8:$H$8</c:f>
              <c:numCache>
                <c:formatCode>_-[$R$-416]\ * #,##0.00_-;\-[$R$-416]\ * #,##0.00_-;_-[$R$-416]\ * "-"??_-;_-@_-</c:formatCode>
                <c:ptCount val="7"/>
                <c:pt idx="0">
                  <c:v>3529.1800000000003</c:v>
                </c:pt>
                <c:pt idx="1">
                  <c:v>3802.6800000000003</c:v>
                </c:pt>
                <c:pt idx="2">
                  <c:v>4086.6800000000003</c:v>
                </c:pt>
                <c:pt idx="3">
                  <c:v>4551.68</c:v>
                </c:pt>
                <c:pt idx="4">
                  <c:v>4981.68</c:v>
                </c:pt>
                <c:pt idx="5">
                  <c:v>5181.68</c:v>
                </c:pt>
                <c:pt idx="6">
                  <c:v>4916.68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9EC-4E8D-A8E8-D920D0298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1226640"/>
        <c:axId val="1441223760"/>
        <c:extLst>
          <c:ext xmlns:c15="http://schemas.microsoft.com/office/drawing/2012/chart" uri="{02D57815-91ED-43cb-92C2-25804820EDAC}">
            <c15:filteredArea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'PF vs PJ'!$A$6</c15:sqref>
                        </c15:formulaRef>
                      </c:ext>
                    </c:extLst>
                    <c:strCache>
                      <c:ptCount val="1"/>
                      <c:pt idx="0">
                        <c:v>Recebimento</c:v>
                      </c:pt>
                    </c:strCache>
                  </c:strRef>
                </c:tx>
                <c:spPr>
                  <a:solidFill>
                    <a:schemeClr val="accent6">
                      <a:lumMod val="20000"/>
                      <a:lumOff val="80000"/>
                    </a:schemeClr>
                  </a:solidFill>
                  <a:ln>
                    <a:noFill/>
                  </a:ln>
                  <a:effectLst/>
                </c:spPr>
                <c:val>
                  <c:numRef>
                    <c:extLst>
                      <c:ext uri="{02D57815-91ED-43cb-92C2-25804820EDAC}">
                        <c15:formulaRef>
                          <c15:sqref>'PF vs PJ'!$B$6:$H$6</c15:sqref>
                        </c15:formulaRef>
                      </c:ext>
                    </c:extLst>
                    <c:numCache>
                      <c:formatCode>_-[$R$-416]\ * #,##0.00_-;\-[$R$-416]\ * #,##0.00_-;_-[$R$-416]\ * "-"??_-;_-@_-</c:formatCode>
                      <c:ptCount val="7"/>
                      <c:pt idx="0">
                        <c:v>20327.5</c:v>
                      </c:pt>
                      <c:pt idx="1">
                        <c:v>20671</c:v>
                      </c:pt>
                      <c:pt idx="2">
                        <c:v>20985</c:v>
                      </c:pt>
                      <c:pt idx="3">
                        <c:v>21150</c:v>
                      </c:pt>
                      <c:pt idx="4">
                        <c:v>21800</c:v>
                      </c:pt>
                      <c:pt idx="5">
                        <c:v>22100</c:v>
                      </c:pt>
                      <c:pt idx="6">
                        <c:v>22500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9EC-4E8D-A8E8-D920D02982D5}"/>
                  </c:ext>
                </c:extLst>
              </c15:ser>
            </c15:filteredAreaSeries>
          </c:ext>
        </c:extLst>
      </c:areaChart>
      <c:barChart>
        <c:barDir val="col"/>
        <c:grouping val="stacked"/>
        <c:varyColors val="0"/>
        <c:ser>
          <c:idx val="1"/>
          <c:order val="1"/>
          <c:tx>
            <c:strRef>
              <c:f>'PF vs PJ'!$A$3</c:f>
              <c:strCache>
                <c:ptCount val="1"/>
                <c:pt idx="0">
                  <c:v>Pessoal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'PF vs PJ'!$B$1:$H$1</c:f>
              <c:strCache>
                <c:ptCount val="7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</c:strCache>
            </c:strRef>
          </c:cat>
          <c:val>
            <c:numRef>
              <c:f>'PF vs PJ'!$B$3:$H$3</c:f>
              <c:numCache>
                <c:formatCode>_-[$R$-416]\ * #,##0.00_-;\-[$R$-416]\ * #,##0.00_-;_-[$R$-416]\ * "-"??_-;_-@_-</c:formatCode>
                <c:ptCount val="7"/>
                <c:pt idx="0">
                  <c:v>1684.9</c:v>
                </c:pt>
                <c:pt idx="1">
                  <c:v>1599.9</c:v>
                </c:pt>
                <c:pt idx="2">
                  <c:v>1816.4</c:v>
                </c:pt>
                <c:pt idx="3">
                  <c:v>1905.1000000000001</c:v>
                </c:pt>
                <c:pt idx="4">
                  <c:v>1585.65</c:v>
                </c:pt>
                <c:pt idx="5">
                  <c:v>2173.0500000000002</c:v>
                </c:pt>
                <c:pt idx="6">
                  <c:v>1784.9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EC-4E8D-A8E8-D920D0298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1226640"/>
        <c:axId val="14412237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'PF vs PJ'!$A$2</c15:sqref>
                        </c15:formulaRef>
                      </c:ext>
                    </c:extLst>
                    <c:strCache>
                      <c:ptCount val="1"/>
                      <c:pt idx="0">
                        <c:v>Gasto Café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'PF vs PJ'!$B$1:$H$1</c15:sqref>
                        </c15:formulaRef>
                      </c:ext>
                    </c:extLst>
                    <c:strCache>
                      <c:ptCount val="7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'PF vs PJ'!$B$2:$H$2</c15:sqref>
                        </c15:formulaRef>
                      </c:ext>
                    </c:extLst>
                    <c:numCache>
                      <c:formatCode>_-[$R$-416]\ * #,##0.00_-;\-[$R$-416]\ * #,##0.00_-;_-[$R$-416]\ * "-"??_-;_-@_-</c:formatCode>
                      <c:ptCount val="7"/>
                      <c:pt idx="0">
                        <c:v>4610</c:v>
                      </c:pt>
                      <c:pt idx="1">
                        <c:v>4680</c:v>
                      </c:pt>
                      <c:pt idx="2">
                        <c:v>4710</c:v>
                      </c:pt>
                      <c:pt idx="3">
                        <c:v>4410</c:v>
                      </c:pt>
                      <c:pt idx="4">
                        <c:v>4630</c:v>
                      </c:pt>
                      <c:pt idx="5">
                        <c:v>4730</c:v>
                      </c:pt>
                      <c:pt idx="6">
                        <c:v>5395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9EC-4E8D-A8E8-D920D02982D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'PF vs PJ'!$A$4</c15:sqref>
                        </c15:formulaRef>
                      </c:ext>
                    </c:extLst>
                    <c:strCache>
                      <c:ptCount val="1"/>
                      <c:pt idx="0">
                        <c:v>Funcionários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'PF vs PJ'!$B$1:$H$1</c15:sqref>
                        </c15:formulaRef>
                      </c:ext>
                    </c:extLst>
                    <c:strCache>
                      <c:ptCount val="7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'PF vs PJ'!$B$4:$H$4</c15:sqref>
                        </c15:formulaRef>
                      </c:ext>
                    </c:extLst>
                    <c:numCache>
                      <c:formatCode>_-[$R$-416]\ * #,##0.00_-;\-[$R$-416]\ * #,##0.00_-;_-[$R$-416]\ * "-"??_-;_-@_-</c:formatCode>
                      <c:ptCount val="7"/>
                      <c:pt idx="0">
                        <c:v>9340.34</c:v>
                      </c:pt>
                      <c:pt idx="1">
                        <c:v>9340.34</c:v>
                      </c:pt>
                      <c:pt idx="2">
                        <c:v>9340.34</c:v>
                      </c:pt>
                      <c:pt idx="3">
                        <c:v>9340.34</c:v>
                      </c:pt>
                      <c:pt idx="4">
                        <c:v>9340.34</c:v>
                      </c:pt>
                      <c:pt idx="5">
                        <c:v>9340.34</c:v>
                      </c:pt>
                      <c:pt idx="6">
                        <c:v>9340.34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9EC-4E8D-A8E8-D920D02982D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'PF vs PJ'!$A$5</c15:sqref>
                        </c15:formulaRef>
                      </c:ext>
                    </c:extLst>
                    <c:strCache>
                      <c:ptCount val="1"/>
                      <c:pt idx="0">
                        <c:v>Contabilidade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'PF vs PJ'!$B$1:$H$1</c15:sqref>
                        </c15:formulaRef>
                      </c:ext>
                    </c:extLst>
                    <c:strCache>
                      <c:ptCount val="7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'PF vs PJ'!$B$5:$H$5</c15:sqref>
                        </c15:formulaRef>
                      </c:ext>
                    </c:extLst>
                    <c:numCache>
                      <c:formatCode>_-[$R$-416]\ * #,##0.00_-;\-[$R$-416]\ * #,##0.00_-;_-[$R$-416]\ * "-"??_-;_-@_-</c:formatCode>
                      <c:ptCount val="7"/>
                      <c:pt idx="0">
                        <c:v>2847.98</c:v>
                      </c:pt>
                      <c:pt idx="1">
                        <c:v>2847.98</c:v>
                      </c:pt>
                      <c:pt idx="2">
                        <c:v>2847.98</c:v>
                      </c:pt>
                      <c:pt idx="3">
                        <c:v>2847.98</c:v>
                      </c:pt>
                      <c:pt idx="4">
                        <c:v>2847.98</c:v>
                      </c:pt>
                      <c:pt idx="5">
                        <c:v>2847.98</c:v>
                      </c:pt>
                      <c:pt idx="6">
                        <c:v>2847.98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9EC-4E8D-A8E8-D920D02982D5}"/>
                  </c:ext>
                </c:extLst>
              </c15:ser>
            </c15:filteredBarSeries>
          </c:ext>
        </c:extLst>
      </c:barChart>
      <c:catAx>
        <c:axId val="144122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1223760"/>
        <c:crosses val="autoZero"/>
        <c:auto val="1"/>
        <c:lblAlgn val="ctr"/>
        <c:lblOffset val="100"/>
        <c:noMultiLvlLbl val="0"/>
      </c:catAx>
      <c:valAx>
        <c:axId val="144122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122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Gastos vs</a:t>
            </a:r>
            <a:r>
              <a:rPr lang="pt-BR" baseline="0"/>
              <a:t> Recebimento Total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4"/>
          <c:order val="4"/>
          <c:tx>
            <c:strRef>
              <c:f>'PF vs PJ'!$A$6</c:f>
              <c:strCache>
                <c:ptCount val="1"/>
                <c:pt idx="0">
                  <c:v>Recebimento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strRef>
              <c:f>'PF vs PJ'!$B$1:$H$1</c:f>
              <c:strCache>
                <c:ptCount val="7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</c:strCache>
            </c:strRef>
          </c:cat>
          <c:val>
            <c:numRef>
              <c:f>'PF vs PJ'!$B$6:$H$6</c:f>
              <c:numCache>
                <c:formatCode>_-[$R$-416]\ * #,##0.00_-;\-[$R$-416]\ * #,##0.00_-;_-[$R$-416]\ * "-"??_-;_-@_-</c:formatCode>
                <c:ptCount val="7"/>
                <c:pt idx="0">
                  <c:v>20327.5</c:v>
                </c:pt>
                <c:pt idx="1">
                  <c:v>20671</c:v>
                </c:pt>
                <c:pt idx="2">
                  <c:v>20985</c:v>
                </c:pt>
                <c:pt idx="3">
                  <c:v>21150</c:v>
                </c:pt>
                <c:pt idx="4">
                  <c:v>21800</c:v>
                </c:pt>
                <c:pt idx="5">
                  <c:v>22100</c:v>
                </c:pt>
                <c:pt idx="6">
                  <c:v>22500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09-4F18-8B88-4D7E2B951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384896"/>
        <c:axId val="1676389216"/>
      </c:areaChart>
      <c:barChart>
        <c:barDir val="col"/>
        <c:grouping val="stacked"/>
        <c:varyColors val="0"/>
        <c:ser>
          <c:idx val="0"/>
          <c:order val="0"/>
          <c:tx>
            <c:strRef>
              <c:f>'PF vs PJ'!$A$2</c:f>
              <c:strCache>
                <c:ptCount val="1"/>
                <c:pt idx="0">
                  <c:v>Gasto Café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'PF vs PJ'!$B$1:$H$1</c:f>
              <c:strCache>
                <c:ptCount val="7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</c:strCache>
            </c:strRef>
          </c:cat>
          <c:val>
            <c:numRef>
              <c:f>'PF vs PJ'!$B$2:$H$2</c:f>
              <c:numCache>
                <c:formatCode>_-[$R$-416]\ * #,##0.00_-;\-[$R$-416]\ * #,##0.00_-;_-[$R$-416]\ * "-"??_-;_-@_-</c:formatCode>
                <c:ptCount val="7"/>
                <c:pt idx="0">
                  <c:v>4610</c:v>
                </c:pt>
                <c:pt idx="1">
                  <c:v>4680</c:v>
                </c:pt>
                <c:pt idx="2">
                  <c:v>4710</c:v>
                </c:pt>
                <c:pt idx="3">
                  <c:v>4410</c:v>
                </c:pt>
                <c:pt idx="4">
                  <c:v>4630</c:v>
                </c:pt>
                <c:pt idx="5">
                  <c:v>4730</c:v>
                </c:pt>
                <c:pt idx="6">
                  <c:v>5395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9-4F18-8B88-4D7E2B9515B5}"/>
            </c:ext>
          </c:extLst>
        </c:ser>
        <c:ser>
          <c:idx val="1"/>
          <c:order val="1"/>
          <c:tx>
            <c:strRef>
              <c:f>'PF vs PJ'!$A$3</c:f>
              <c:strCache>
                <c:ptCount val="1"/>
                <c:pt idx="0">
                  <c:v>Pessoal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'PF vs PJ'!$B$1:$H$1</c:f>
              <c:strCache>
                <c:ptCount val="7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</c:strCache>
            </c:strRef>
          </c:cat>
          <c:val>
            <c:numRef>
              <c:f>'PF vs PJ'!$B$3:$H$3</c:f>
              <c:numCache>
                <c:formatCode>_-[$R$-416]\ * #,##0.00_-;\-[$R$-416]\ * #,##0.00_-;_-[$R$-416]\ * "-"??_-;_-@_-</c:formatCode>
                <c:ptCount val="7"/>
                <c:pt idx="0">
                  <c:v>1684.9</c:v>
                </c:pt>
                <c:pt idx="1">
                  <c:v>1599.9</c:v>
                </c:pt>
                <c:pt idx="2">
                  <c:v>1816.4</c:v>
                </c:pt>
                <c:pt idx="3">
                  <c:v>1905.1000000000001</c:v>
                </c:pt>
                <c:pt idx="4">
                  <c:v>1585.65</c:v>
                </c:pt>
                <c:pt idx="5">
                  <c:v>2173.0500000000002</c:v>
                </c:pt>
                <c:pt idx="6">
                  <c:v>1784.9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09-4F18-8B88-4D7E2B9515B5}"/>
            </c:ext>
          </c:extLst>
        </c:ser>
        <c:ser>
          <c:idx val="2"/>
          <c:order val="2"/>
          <c:tx>
            <c:strRef>
              <c:f>'PF vs PJ'!$A$4</c:f>
              <c:strCache>
                <c:ptCount val="1"/>
                <c:pt idx="0">
                  <c:v>Funcionários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'PF vs PJ'!$B$1:$H$1</c:f>
              <c:strCache>
                <c:ptCount val="7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</c:strCache>
            </c:strRef>
          </c:cat>
          <c:val>
            <c:numRef>
              <c:f>'PF vs PJ'!$B$4:$H$4</c:f>
              <c:numCache>
                <c:formatCode>_-[$R$-416]\ * #,##0.00_-;\-[$R$-416]\ * #,##0.00_-;_-[$R$-416]\ * "-"??_-;_-@_-</c:formatCode>
                <c:ptCount val="7"/>
                <c:pt idx="0">
                  <c:v>9340.34</c:v>
                </c:pt>
                <c:pt idx="1">
                  <c:v>9340.34</c:v>
                </c:pt>
                <c:pt idx="2">
                  <c:v>9340.34</c:v>
                </c:pt>
                <c:pt idx="3">
                  <c:v>9340.34</c:v>
                </c:pt>
                <c:pt idx="4">
                  <c:v>9340.34</c:v>
                </c:pt>
                <c:pt idx="5">
                  <c:v>9340.34</c:v>
                </c:pt>
                <c:pt idx="6">
                  <c:v>9340.34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09-4F18-8B88-4D7E2B9515B5}"/>
            </c:ext>
          </c:extLst>
        </c:ser>
        <c:ser>
          <c:idx val="3"/>
          <c:order val="3"/>
          <c:tx>
            <c:strRef>
              <c:f>'PF vs PJ'!$A$5</c:f>
              <c:strCache>
                <c:ptCount val="1"/>
                <c:pt idx="0">
                  <c:v>Contabilidade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'PF vs PJ'!$B$1:$H$1</c:f>
              <c:strCache>
                <c:ptCount val="7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</c:strCache>
            </c:strRef>
          </c:cat>
          <c:val>
            <c:numRef>
              <c:f>'PF vs PJ'!$B$5:$H$5</c:f>
              <c:numCache>
                <c:formatCode>_-[$R$-416]\ * #,##0.00_-;\-[$R$-416]\ * #,##0.00_-;_-[$R$-416]\ * "-"??_-;_-@_-</c:formatCode>
                <c:ptCount val="7"/>
                <c:pt idx="0">
                  <c:v>2847.98</c:v>
                </c:pt>
                <c:pt idx="1">
                  <c:v>2847.98</c:v>
                </c:pt>
                <c:pt idx="2">
                  <c:v>2847.98</c:v>
                </c:pt>
                <c:pt idx="3">
                  <c:v>2847.98</c:v>
                </c:pt>
                <c:pt idx="4">
                  <c:v>2847.98</c:v>
                </c:pt>
                <c:pt idx="5">
                  <c:v>2847.98</c:v>
                </c:pt>
                <c:pt idx="6">
                  <c:v>2847.98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09-4F18-8B88-4D7E2B951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6384896"/>
        <c:axId val="1676389216"/>
      </c:barChart>
      <c:catAx>
        <c:axId val="167638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6389216"/>
        <c:crosses val="autoZero"/>
        <c:auto val="1"/>
        <c:lblAlgn val="ctr"/>
        <c:lblOffset val="100"/>
        <c:noMultiLvlLbl val="0"/>
      </c:catAx>
      <c:valAx>
        <c:axId val="167638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638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Gastos Café</a:t>
            </a:r>
            <a:r>
              <a:rPr lang="pt-BR" baseline="0"/>
              <a:t> vs Recebimentos Café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6"/>
          <c:order val="6"/>
          <c:tx>
            <c:strRef>
              <c:f>'PF vs PJ'!$A$7</c:f>
              <c:strCache>
                <c:ptCount val="1"/>
                <c:pt idx="0">
                  <c:v>Recebimento Café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val>
            <c:numRef>
              <c:f>'PF vs PJ'!$B$7:$H$7</c:f>
              <c:numCache>
                <c:formatCode>_-[$R$-416]\ * #,##0.00_-;\-[$R$-416]\ * #,##0.00_-;_-[$R$-416]\ * "-"??_-;_-@_-</c:formatCode>
                <c:ptCount val="7"/>
                <c:pt idx="0">
                  <c:v>16798.32</c:v>
                </c:pt>
                <c:pt idx="1">
                  <c:v>16868.32</c:v>
                </c:pt>
                <c:pt idx="2">
                  <c:v>16898.32</c:v>
                </c:pt>
                <c:pt idx="3">
                  <c:v>16598.32</c:v>
                </c:pt>
                <c:pt idx="4">
                  <c:v>16818.32</c:v>
                </c:pt>
                <c:pt idx="5">
                  <c:v>16918.32</c:v>
                </c:pt>
                <c:pt idx="6">
                  <c:v>17583.32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D7-462D-AD2E-FBCC8D634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1226640"/>
        <c:axId val="1441223760"/>
      </c:areaChart>
      <c:barChart>
        <c:barDir val="col"/>
        <c:grouping val="stacked"/>
        <c:varyColors val="0"/>
        <c:ser>
          <c:idx val="0"/>
          <c:order val="0"/>
          <c:tx>
            <c:strRef>
              <c:f>'PF vs PJ'!$A$2</c:f>
              <c:strCache>
                <c:ptCount val="1"/>
                <c:pt idx="0">
                  <c:v>Gasto Café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'PF vs PJ'!$B$1:$H$1</c:f>
              <c:strCache>
                <c:ptCount val="7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</c:strCache>
              <c:extLst xmlns:c15="http://schemas.microsoft.com/office/drawing/2012/chart"/>
            </c:strRef>
          </c:cat>
          <c:val>
            <c:numRef>
              <c:f>'PF vs PJ'!$B$2:$H$2</c:f>
              <c:numCache>
                <c:formatCode>_-[$R$-416]\ * #,##0.00_-;\-[$R$-416]\ * #,##0.00_-;_-[$R$-416]\ * "-"??_-;_-@_-</c:formatCode>
                <c:ptCount val="7"/>
                <c:pt idx="0">
                  <c:v>4610</c:v>
                </c:pt>
                <c:pt idx="1">
                  <c:v>4680</c:v>
                </c:pt>
                <c:pt idx="2">
                  <c:v>4710</c:v>
                </c:pt>
                <c:pt idx="3">
                  <c:v>4410</c:v>
                </c:pt>
                <c:pt idx="4">
                  <c:v>4630</c:v>
                </c:pt>
                <c:pt idx="5">
                  <c:v>4730</c:v>
                </c:pt>
                <c:pt idx="6">
                  <c:v>5395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2-B1D7-462D-AD2E-FBCC8D63453F}"/>
            </c:ext>
          </c:extLst>
        </c:ser>
        <c:ser>
          <c:idx val="2"/>
          <c:order val="2"/>
          <c:tx>
            <c:strRef>
              <c:f>'PF vs PJ'!$A$4</c:f>
              <c:strCache>
                <c:ptCount val="1"/>
                <c:pt idx="0">
                  <c:v>Funcionários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'PF vs PJ'!$B$1:$H$1</c:f>
              <c:strCache>
                <c:ptCount val="7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</c:strCache>
              <c:extLst xmlns:c15="http://schemas.microsoft.com/office/drawing/2012/chart"/>
            </c:strRef>
          </c:cat>
          <c:val>
            <c:numRef>
              <c:f>'PF vs PJ'!$B$4:$H$4</c:f>
              <c:numCache>
                <c:formatCode>_-[$R$-416]\ * #,##0.00_-;\-[$R$-416]\ * #,##0.00_-;_-[$R$-416]\ * "-"??_-;_-@_-</c:formatCode>
                <c:ptCount val="7"/>
                <c:pt idx="0">
                  <c:v>9340.34</c:v>
                </c:pt>
                <c:pt idx="1">
                  <c:v>9340.34</c:v>
                </c:pt>
                <c:pt idx="2">
                  <c:v>9340.34</c:v>
                </c:pt>
                <c:pt idx="3">
                  <c:v>9340.34</c:v>
                </c:pt>
                <c:pt idx="4">
                  <c:v>9340.34</c:v>
                </c:pt>
                <c:pt idx="5">
                  <c:v>9340.34</c:v>
                </c:pt>
                <c:pt idx="6">
                  <c:v>9340.34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3-B1D7-462D-AD2E-FBCC8D63453F}"/>
            </c:ext>
          </c:extLst>
        </c:ser>
        <c:ser>
          <c:idx val="3"/>
          <c:order val="3"/>
          <c:tx>
            <c:strRef>
              <c:f>'PF vs PJ'!$A$5</c:f>
              <c:strCache>
                <c:ptCount val="1"/>
                <c:pt idx="0">
                  <c:v>Contabilidade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'PF vs PJ'!$B$1:$H$1</c:f>
              <c:strCache>
                <c:ptCount val="7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</c:strCache>
              <c:extLst xmlns:c15="http://schemas.microsoft.com/office/drawing/2012/chart"/>
            </c:strRef>
          </c:cat>
          <c:val>
            <c:numRef>
              <c:f>'PF vs PJ'!$B$5:$H$5</c:f>
              <c:numCache>
                <c:formatCode>_-[$R$-416]\ * #,##0.00_-;\-[$R$-416]\ * #,##0.00_-;_-[$R$-416]\ * "-"??_-;_-@_-</c:formatCode>
                <c:ptCount val="7"/>
                <c:pt idx="0">
                  <c:v>2847.98</c:v>
                </c:pt>
                <c:pt idx="1">
                  <c:v>2847.98</c:v>
                </c:pt>
                <c:pt idx="2">
                  <c:v>2847.98</c:v>
                </c:pt>
                <c:pt idx="3">
                  <c:v>2847.98</c:v>
                </c:pt>
                <c:pt idx="4">
                  <c:v>2847.98</c:v>
                </c:pt>
                <c:pt idx="5">
                  <c:v>2847.98</c:v>
                </c:pt>
                <c:pt idx="6">
                  <c:v>2847.98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4-B1D7-462D-AD2E-FBCC8D634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1226640"/>
        <c:axId val="144122376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'PF vs PJ'!$A$3</c15:sqref>
                        </c15:formulaRef>
                      </c:ext>
                    </c:extLst>
                    <c:strCache>
                      <c:ptCount val="1"/>
                      <c:pt idx="0">
                        <c:v>Pessoal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'PF vs PJ'!$B$1:$H$1</c15:sqref>
                        </c15:formulaRef>
                      </c:ext>
                    </c:extLst>
                    <c:strCache>
                      <c:ptCount val="7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'PF vs PJ'!$B$3:$H$3</c15:sqref>
                        </c15:formulaRef>
                      </c:ext>
                    </c:extLst>
                    <c:numCache>
                      <c:formatCode>_-[$R$-416]\ * #,##0.00_-;\-[$R$-416]\ * #,##0.00_-;_-[$R$-416]\ * "-"??_-;_-@_-</c:formatCode>
                      <c:ptCount val="7"/>
                      <c:pt idx="0">
                        <c:v>1684.9</c:v>
                      </c:pt>
                      <c:pt idx="1">
                        <c:v>1599.9</c:v>
                      </c:pt>
                      <c:pt idx="2">
                        <c:v>1816.4</c:v>
                      </c:pt>
                      <c:pt idx="3">
                        <c:v>1905.1000000000001</c:v>
                      </c:pt>
                      <c:pt idx="4">
                        <c:v>1585.65</c:v>
                      </c:pt>
                      <c:pt idx="5">
                        <c:v>2173.0500000000002</c:v>
                      </c:pt>
                      <c:pt idx="6">
                        <c:v>1784.9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1D7-462D-AD2E-FBCC8D63453F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'PF vs PJ'!$A$6</c15:sqref>
                        </c15:formulaRef>
                      </c:ext>
                    </c:extLst>
                    <c:strCache>
                      <c:ptCount val="1"/>
                      <c:pt idx="0">
                        <c:v>Recebimento</c:v>
                      </c:pt>
                    </c:strCache>
                  </c:strRef>
                </c:tx>
                <c:spPr>
                  <a:solidFill>
                    <a:schemeClr val="accent6">
                      <a:lumMod val="20000"/>
                      <a:lumOff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'PF vs PJ'!$B$6:$H$6</c15:sqref>
                        </c15:formulaRef>
                      </c:ext>
                    </c:extLst>
                    <c:numCache>
                      <c:formatCode>_-[$R$-416]\ * #,##0.00_-;\-[$R$-416]\ * #,##0.00_-;_-[$R$-416]\ * "-"??_-;_-@_-</c:formatCode>
                      <c:ptCount val="7"/>
                      <c:pt idx="0">
                        <c:v>20327.5</c:v>
                      </c:pt>
                      <c:pt idx="1">
                        <c:v>20671</c:v>
                      </c:pt>
                      <c:pt idx="2">
                        <c:v>20985</c:v>
                      </c:pt>
                      <c:pt idx="3">
                        <c:v>21150</c:v>
                      </c:pt>
                      <c:pt idx="4">
                        <c:v>21800</c:v>
                      </c:pt>
                      <c:pt idx="5">
                        <c:v>22100</c:v>
                      </c:pt>
                      <c:pt idx="6">
                        <c:v>22500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1D7-462D-AD2E-FBCC8D63453F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'PF vs PJ'!$A$8</c15:sqref>
                        </c15:formulaRef>
                      </c:ext>
                    </c:extLst>
                    <c:strCache>
                      <c:ptCount val="1"/>
                      <c:pt idx="0">
                        <c:v>Recebimento Líquido</c:v>
                      </c:pt>
                    </c:strCache>
                  </c:strRef>
                </c:tx>
                <c:spPr>
                  <a:solidFill>
                    <a:schemeClr val="accent6">
                      <a:lumMod val="20000"/>
                      <a:lumOff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'PF vs PJ'!$B$8:$H$8</c15:sqref>
                        </c15:formulaRef>
                      </c:ext>
                    </c:extLst>
                    <c:numCache>
                      <c:formatCode>_-[$R$-416]\ * #,##0.00_-;\-[$R$-416]\ * #,##0.00_-;_-[$R$-416]\ * "-"??_-;_-@_-</c:formatCode>
                      <c:ptCount val="7"/>
                      <c:pt idx="0">
                        <c:v>3529.1800000000003</c:v>
                      </c:pt>
                      <c:pt idx="1">
                        <c:v>3802.6800000000003</c:v>
                      </c:pt>
                      <c:pt idx="2">
                        <c:v>4086.6800000000003</c:v>
                      </c:pt>
                      <c:pt idx="3">
                        <c:v>4551.68</c:v>
                      </c:pt>
                      <c:pt idx="4">
                        <c:v>4981.68</c:v>
                      </c:pt>
                      <c:pt idx="5">
                        <c:v>5181.68</c:v>
                      </c:pt>
                      <c:pt idx="6">
                        <c:v>4916.68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B1D7-462D-AD2E-FBCC8D63453F}"/>
                  </c:ext>
                </c:extLst>
              </c15:ser>
            </c15:filteredBarSeries>
          </c:ext>
        </c:extLst>
      </c:barChart>
      <c:catAx>
        <c:axId val="144122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1223760"/>
        <c:crosses val="autoZero"/>
        <c:auto val="1"/>
        <c:lblAlgn val="ctr"/>
        <c:lblOffset val="100"/>
        <c:noMultiLvlLbl val="0"/>
      </c:catAx>
      <c:valAx>
        <c:axId val="144122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122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657494736"/>
        <c:axId val="1657492336"/>
      </c:barChart>
      <c:catAx>
        <c:axId val="1657494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7492336"/>
        <c:crosses val="autoZero"/>
        <c:auto val="1"/>
        <c:lblAlgn val="ctr"/>
        <c:lblOffset val="100"/>
        <c:noMultiLvlLbl val="0"/>
      </c:catAx>
      <c:valAx>
        <c:axId val="1657492336"/>
        <c:scaling>
          <c:orientation val="minMax"/>
        </c:scaling>
        <c:delete val="1"/>
        <c:axPos val="b"/>
        <c:numFmt formatCode="0,000%" sourceLinked="1"/>
        <c:majorTickMark val="none"/>
        <c:minorTickMark val="none"/>
        <c:tickLblPos val="nextTo"/>
        <c:crossAx val="165749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EBC282"/>
            </a:solidFill>
            <a:ln w="9525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accent4"/>
            </a:solidFill>
            <a:ln w="9525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Gastos Totais</c:v>
          </c:tx>
          <c:spPr>
            <a:solidFill>
              <a:srgbClr val="EBC28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8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</c:strLit>
          </c:cat>
          <c:val>
            <c:numRef>
              <c:f>'PF vs PJ'!$B$7:$H$7</c:f>
              <c:numCache>
                <c:formatCode>_-[$R$-416]\ * #,##0.00_-;\-[$R$-416]\ * #,##0.00_-;_-[$R$-416]\ * "-"??_-;_-@_-</c:formatCode>
                <c:ptCount val="7"/>
                <c:pt idx="0">
                  <c:v>16798.32</c:v>
                </c:pt>
                <c:pt idx="1">
                  <c:v>16868.32</c:v>
                </c:pt>
                <c:pt idx="2">
                  <c:v>16898.32</c:v>
                </c:pt>
                <c:pt idx="3">
                  <c:v>16598.32</c:v>
                </c:pt>
                <c:pt idx="4">
                  <c:v>16818.32</c:v>
                </c:pt>
                <c:pt idx="5">
                  <c:v>16918.32</c:v>
                </c:pt>
                <c:pt idx="6">
                  <c:v>17583.32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2-4ABB-AAB3-DF41A5B87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2135407"/>
        <c:axId val="1620512911"/>
      </c:barChart>
      <c:lineChart>
        <c:grouping val="standard"/>
        <c:varyColors val="0"/>
        <c:ser>
          <c:idx val="1"/>
          <c:order val="1"/>
          <c:tx>
            <c:v>Recebimento Total</c:v>
          </c:tx>
          <c:spPr>
            <a:ln w="34925" cap="rnd">
              <a:solidFill>
                <a:srgbClr val="93AB8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Lit>
              <c:ptCount val="8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</c:strLit>
          </c:cat>
          <c:val>
            <c:numRef>
              <c:f>'PF vs PJ'!$B$6:$H$6</c:f>
              <c:numCache>
                <c:formatCode>_-[$R$-416]\ * #,##0.00_-;\-[$R$-416]\ * #,##0.00_-;_-[$R$-416]\ * "-"??_-;_-@_-</c:formatCode>
                <c:ptCount val="7"/>
                <c:pt idx="0">
                  <c:v>20327.5</c:v>
                </c:pt>
                <c:pt idx="1">
                  <c:v>20671</c:v>
                </c:pt>
                <c:pt idx="2">
                  <c:v>20985</c:v>
                </c:pt>
                <c:pt idx="3">
                  <c:v>21150</c:v>
                </c:pt>
                <c:pt idx="4">
                  <c:v>21800</c:v>
                </c:pt>
                <c:pt idx="5">
                  <c:v>22100</c:v>
                </c:pt>
                <c:pt idx="6">
                  <c:v>22500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F2-4ABB-AAB3-DF41A5B87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2135407"/>
        <c:axId val="1620512911"/>
      </c:lineChart>
      <c:catAx>
        <c:axId val="160213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0512911"/>
        <c:crosses val="autoZero"/>
        <c:auto val="1"/>
        <c:lblAlgn val="ctr"/>
        <c:lblOffset val="100"/>
        <c:noMultiLvlLbl val="0"/>
      </c:catAx>
      <c:valAx>
        <c:axId val="1620512911"/>
        <c:scaling>
          <c:orientation val="minMax"/>
        </c:scaling>
        <c:delete val="0"/>
        <c:axPos val="l"/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213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0"/>
              <c:y val="2.59067181355866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0"/>
              <c:y val="1.72711454237244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2.597400826668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2.597400826668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"/>
              <c:y val="1.73160055111255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4992503748125937E-2"/>
          <c:y val="0.1038960330667532"/>
          <c:w val="0.96751624187906049"/>
          <c:h val="0.69594594133964516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93AB81"/>
            </a:soli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A6CF-4394-80C6-0957538072DC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6CF-4394-80C6-0957538072DC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A6CF-4394-80C6-0957538072DC}"/>
              </c:ext>
            </c:extLst>
          </c:dPt>
          <c:dLbls>
            <c:dLbl>
              <c:idx val="1"/>
              <c:layout>
                <c:manualLayout>
                  <c:x val="0"/>
                  <c:y val="2.5974008266688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CF-4394-80C6-0957538072DC}"/>
                </c:ext>
              </c:extLst>
            </c:dLbl>
            <c:dLbl>
              <c:idx val="4"/>
              <c:layout>
                <c:manualLayout>
                  <c:x val="0"/>
                  <c:y val="2.5974008266688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CF-4394-80C6-0957538072DC}"/>
                </c:ext>
              </c:extLst>
            </c:dLbl>
            <c:dLbl>
              <c:idx val="5"/>
              <c:layout>
                <c:manualLayout>
                  <c:x val="0"/>
                  <c:y val="1.731600551112557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CF-4394-80C6-0957538072DC}"/>
                </c:ext>
              </c:extLst>
            </c:dLbl>
            <c:numFmt formatCode="_-[$R$-416]\ * #,##0.00_-;\-[$R$-416]\ * #,##0.00_-;_-[$R$-416]\ * &quot;-&quot;??_-;_-@_-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</c:strLit>
          </c:cat>
          <c:val>
            <c:numRef>
              <c:f>'PF vs PJ'!$B$8:$H$8</c:f>
              <c:numCache>
                <c:formatCode>_-[$R$-416]\ * #,##0.00_-;\-[$R$-416]\ * #,##0.00_-;_-[$R$-416]\ * "-"??_-;_-@_-</c:formatCode>
                <c:ptCount val="7"/>
                <c:pt idx="0">
                  <c:v>3529.1800000000003</c:v>
                </c:pt>
                <c:pt idx="1">
                  <c:v>3802.6800000000003</c:v>
                </c:pt>
                <c:pt idx="2">
                  <c:v>4086.6800000000003</c:v>
                </c:pt>
                <c:pt idx="3">
                  <c:v>4551.68</c:v>
                </c:pt>
                <c:pt idx="4">
                  <c:v>4981.68</c:v>
                </c:pt>
                <c:pt idx="5">
                  <c:v>5181.68</c:v>
                </c:pt>
                <c:pt idx="6">
                  <c:v>4916.68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CF-4394-80C6-0957538072D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664114271"/>
        <c:axId val="1664111391"/>
      </c:barChart>
      <c:catAx>
        <c:axId val="166411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4111391"/>
        <c:crosses val="autoZero"/>
        <c:auto val="1"/>
        <c:lblAlgn val="ctr"/>
        <c:lblOffset val="100"/>
        <c:noMultiLvlLbl val="0"/>
      </c:catAx>
      <c:valAx>
        <c:axId val="1664111391"/>
        <c:scaling>
          <c:orientation val="minMax"/>
        </c:scaling>
        <c:delete val="1"/>
        <c:axPos val="l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664114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EBC282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313829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'Dados Financeiros'!$A$3:$A$4</c:f>
              <c:strCache>
                <c:ptCount val="2"/>
                <c:pt idx="0">
                  <c:v>Rentabilidade Selic</c:v>
                </c:pt>
                <c:pt idx="1">
                  <c:v>Rentabilidade Café</c:v>
                </c:pt>
              </c:strCache>
            </c:strRef>
          </c:cat>
          <c:val>
            <c:numRef>
              <c:f>'Dados Financeiros'!$B$3:$B$4</c:f>
              <c:numCache>
                <c:formatCode>0.00%</c:formatCode>
                <c:ptCount val="2"/>
                <c:pt idx="0" formatCode="0.000%">
                  <c:v>9.1000000000000004E-3</c:v>
                </c:pt>
                <c:pt idx="1">
                  <c:v>2.7319996997455798E-2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B-41A8-BE07-C7BA8CC98FC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31405743"/>
        <c:axId val="531424463"/>
      </c:barChart>
      <c:catAx>
        <c:axId val="531405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1424463"/>
        <c:crosses val="autoZero"/>
        <c:auto val="1"/>
        <c:lblAlgn val="ctr"/>
        <c:lblOffset val="100"/>
        <c:noMultiLvlLbl val="0"/>
      </c:catAx>
      <c:valAx>
        <c:axId val="531424463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crossAx val="531405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image" Target="../media/image1.png"/><Relationship Id="rId1" Type="http://schemas.openxmlformats.org/officeDocument/2006/relationships/chart" Target="../charts/chart5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10990</xdr:colOff>
      <xdr:row>6</xdr:row>
      <xdr:rowOff>2197</xdr:rowOff>
    </xdr:from>
    <xdr:to>
      <xdr:col>5</xdr:col>
      <xdr:colOff>7326</xdr:colOff>
      <xdr:row>19</xdr:row>
      <xdr:rowOff>117231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378D6C-4BD9-EF37-8B94-E905FFB92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866776</xdr:colOff>
      <xdr:row>9</xdr:row>
      <xdr:rowOff>9525</xdr:rowOff>
    </xdr:from>
    <xdr:to>
      <xdr:col>12</xdr:col>
      <xdr:colOff>342901</xdr:colOff>
      <xdr:row>20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6E39EC6-C556-4324-B41D-D37D12E4FF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15875</xdr:colOff>
      <xdr:row>9</xdr:row>
      <xdr:rowOff>9524</xdr:rowOff>
    </xdr:from>
    <xdr:to>
      <xdr:col>5</xdr:col>
      <xdr:colOff>835024</xdr:colOff>
      <xdr:row>31</xdr:row>
      <xdr:rowOff>133349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A5813F5-3137-BA0C-441C-479B683E6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876300</xdr:colOff>
      <xdr:row>20</xdr:row>
      <xdr:rowOff>25401</xdr:rowOff>
    </xdr:from>
    <xdr:to>
      <xdr:col>12</xdr:col>
      <xdr:colOff>352425</xdr:colOff>
      <xdr:row>31</xdr:row>
      <xdr:rowOff>139701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1953E0A-FAE9-4704-BEE9-F521237B4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20956</xdr:colOff>
      <xdr:row>11</xdr:row>
      <xdr:rowOff>91441</xdr:rowOff>
    </xdr:from>
    <xdr:to>
      <xdr:col>22</xdr:col>
      <xdr:colOff>140970</xdr:colOff>
      <xdr:row>25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149BEF-99C7-427D-A481-15DED137FB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86574</xdr:colOff>
      <xdr:row>1</xdr:row>
      <xdr:rowOff>114299</xdr:rowOff>
    </xdr:from>
    <xdr:to>
      <xdr:col>9</xdr:col>
      <xdr:colOff>97155</xdr:colOff>
      <xdr:row>6</xdr:row>
      <xdr:rowOff>19048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B9A42A1-F72D-482A-B7C0-1B4F4CF5D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074" y="419099"/>
          <a:ext cx="1534581" cy="476249"/>
        </a:xfrm>
        <a:prstGeom prst="rect">
          <a:avLst/>
        </a:prstGeom>
      </xdr:spPr>
    </xdr:pic>
    <xdr:clientData/>
  </xdr:twoCellAnchor>
  <xdr:twoCellAnchor>
    <xdr:from>
      <xdr:col>1</xdr:col>
      <xdr:colOff>152400</xdr:colOff>
      <xdr:row>27</xdr:row>
      <xdr:rowOff>102870</xdr:rowOff>
    </xdr:from>
    <xdr:to>
      <xdr:col>55</xdr:col>
      <xdr:colOff>133349</xdr:colOff>
      <xdr:row>41</xdr:row>
      <xdr:rowOff>104775</xdr:rowOff>
    </xdr:to>
    <xdr:graphicFrame macro="">
      <xdr:nvGraphicFramePr>
        <xdr:cNvPr id="4" name="Gráfico 2">
          <a:extLst>
            <a:ext uri="{FF2B5EF4-FFF2-40B4-BE49-F238E27FC236}">
              <a16:creationId xmlns:a16="http://schemas.microsoft.com/office/drawing/2014/main" id="{0ACC4E6A-5BC2-4F79-ACEE-252784419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135255</xdr:colOff>
      <xdr:row>12</xdr:row>
      <xdr:rowOff>36195</xdr:rowOff>
    </xdr:from>
    <xdr:to>
      <xdr:col>55</xdr:col>
      <xdr:colOff>152400</xdr:colOff>
      <xdr:row>25</xdr:row>
      <xdr:rowOff>20956</xdr:rowOff>
    </xdr:to>
    <xdr:graphicFrame macro="">
      <xdr:nvGraphicFramePr>
        <xdr:cNvPr id="5" name="Gráfico 3">
          <a:extLst>
            <a:ext uri="{FF2B5EF4-FFF2-40B4-BE49-F238E27FC236}">
              <a16:creationId xmlns:a16="http://schemas.microsoft.com/office/drawing/2014/main" id="{8B810AB1-6341-4B59-94F6-180B95EDE3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12</xdr:row>
      <xdr:rowOff>19051</xdr:rowOff>
    </xdr:from>
    <xdr:to>
      <xdr:col>23</xdr:col>
      <xdr:colOff>0</xdr:colOff>
      <xdr:row>25</xdr:row>
      <xdr:rowOff>1</xdr:rowOff>
    </xdr:to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58CCA4AB-3B44-EEB7-E491-7520E214F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tos%20Alura\Storytelling%20com%20Excel\4009%20-%20Data%20Storytelling_Excel%20-%20Dashboard.xlsx" TargetMode="External"/><Relationship Id="rId1" Type="http://schemas.openxmlformats.org/officeDocument/2006/relationships/externalLinkPath" Target="4009%20-%20Data%20Storytelling_Excel%20-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trato"/>
      <sheetName val="Produtividade Funcionários"/>
      <sheetName val="Base Funcionários"/>
      <sheetName val="Base de Cálculos"/>
      <sheetName val="Base de Cálculos Café"/>
      <sheetName val="Gastos Pessoais x Profissionais"/>
      <sheetName val="Previsões Futuras"/>
      <sheetName val="Tabela Dinâmica"/>
      <sheetName val="Dashboard"/>
      <sheetName val="4009 - Data Storytelling_Excel "/>
    </sheetNames>
    <definedNames>
      <definedName name="Extrato"/>
      <definedName name="Produtividade_Funcionários"/>
    </definedNames>
    <sheetDataSet>
      <sheetData sheetId="0"/>
      <sheetData sheetId="1"/>
      <sheetData sheetId="2" refreshError="1"/>
      <sheetData sheetId="3">
        <row r="10">
          <cell r="E10" t="str">
            <v>Taxa Selic</v>
          </cell>
        </row>
      </sheetData>
      <sheetData sheetId="4" refreshError="1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Resolve Testes" refreshedDate="45529.715249884262" createdVersion="8" refreshedVersion="8" minRefreshableVersion="3" recordCount="24" xr:uid="{561754C5-06B8-4773-AC15-F151907E8A18}">
  <cacheSource type="worksheet">
    <worksheetSource name="Produtividade_Funcionários"/>
  </cacheSource>
  <cacheFields count="4">
    <cacheField name="Mês" numFmtId="0">
      <sharedItems count="8">
        <s v="Jan"/>
        <s v="Fev"/>
        <s v="Mar"/>
        <s v="Abr"/>
        <s v="Mai"/>
        <s v="Jun"/>
        <s v="Jul"/>
        <s v="Ago"/>
      </sharedItems>
    </cacheField>
    <cacheField name="Funcionário" numFmtId="0">
      <sharedItems/>
    </cacheField>
    <cacheField name="Qtde de Vendas" numFmtId="0">
      <sharedItems containsSemiMixedTypes="0" containsString="0" containsNumber="1" containsInteger="1" minValue="60" maxValue="155"/>
    </cacheField>
    <cacheField name="Total  " numFmtId="164">
      <sharedItems containsSemiMixedTypes="0" containsString="0" containsNumber="1" minValue="3211.46" maxValue="7835.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João"/>
    <n v="90"/>
    <n v="7525.67"/>
  </r>
  <r>
    <x v="0"/>
    <s v="Marta"/>
    <n v="120"/>
    <n v="6025.67"/>
  </r>
  <r>
    <x v="0"/>
    <s v="Ana"/>
    <n v="60"/>
    <n v="6776.17"/>
  </r>
  <r>
    <x v="1"/>
    <s v="João"/>
    <n v="95"/>
    <n v="6314"/>
  </r>
  <r>
    <x v="1"/>
    <s v="Marta"/>
    <n v="125"/>
    <n v="6845"/>
  </r>
  <r>
    <x v="1"/>
    <s v="Ana"/>
    <n v="65"/>
    <n v="7512"/>
  </r>
  <r>
    <x v="2"/>
    <s v="João"/>
    <n v="100"/>
    <n v="6528.34"/>
  </r>
  <r>
    <x v="2"/>
    <s v="Marta"/>
    <n v="130"/>
    <n v="7528.33"/>
  </r>
  <r>
    <x v="2"/>
    <s v="Ana"/>
    <n v="70"/>
    <n v="6928.34"/>
  </r>
  <r>
    <x v="3"/>
    <s v="João"/>
    <n v="135"/>
    <n v="7350.01"/>
  </r>
  <r>
    <x v="3"/>
    <s v="Marta"/>
    <n v="75"/>
    <n v="6949.99"/>
  </r>
  <r>
    <x v="3"/>
    <s v="Ana"/>
    <n v="85"/>
    <n v="6850"/>
  </r>
  <r>
    <x v="4"/>
    <s v="João"/>
    <n v="110"/>
    <n v="6683.87"/>
  </r>
  <r>
    <x v="4"/>
    <s v="Marta"/>
    <n v="140"/>
    <n v="7280.5"/>
  </r>
  <r>
    <x v="4"/>
    <s v="Ana"/>
    <n v="110"/>
    <n v="7835.63"/>
  </r>
  <r>
    <x v="5"/>
    <s v="João"/>
    <n v="115"/>
    <n v="7649.67"/>
  </r>
  <r>
    <x v="5"/>
    <s v="Marta"/>
    <n v="100"/>
    <n v="7239.51"/>
  </r>
  <r>
    <x v="5"/>
    <s v="Ana"/>
    <n v="144"/>
    <n v="7210.82"/>
  </r>
  <r>
    <x v="6"/>
    <s v="João"/>
    <n v="120"/>
    <n v="7728.67"/>
  </r>
  <r>
    <x v="6"/>
    <s v="Marta"/>
    <n v="150"/>
    <n v="7042.67"/>
  </r>
  <r>
    <x v="6"/>
    <s v="Ana"/>
    <n v="90"/>
    <n v="7728.66"/>
  </r>
  <r>
    <x v="7"/>
    <s v="João"/>
    <n v="125"/>
    <n v="3211.46"/>
  </r>
  <r>
    <x v="7"/>
    <s v="Marta"/>
    <n v="155"/>
    <n v="3250.83"/>
  </r>
  <r>
    <x v="7"/>
    <s v="Ana"/>
    <n v="95"/>
    <n v="3337.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B337A6-4A8C-475F-B3C2-ED7A581DAF7D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/>
  <pivotFields count="4">
    <pivotField axis="axisRow"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  <pivotField showAll="0"/>
    <pivotField showAll="0"/>
    <pivotField dataField="1" numFmtId="164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Total  " fld="3" baseField="1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06706D9E-65C1-4C0A-B8C2-2095ABF91F6C}" autoFormatId="16" applyNumberFormats="0" applyBorderFormats="0" applyFontFormats="0" applyPatternFormats="0" applyAlignmentFormats="0" applyWidthHeightFormats="0">
  <queryTableRefresh nextId="10">
    <queryTableFields count="9">
      <queryTableField id="1" name="Funcionário" tableColumnId="1"/>
      <queryTableField id="2" name="Salário mensal" tableColumnId="2"/>
      <queryTableField id="3" name="Vale-Transporte " tableColumnId="3"/>
      <queryTableField id="4" name="Total Mensal" tableColumnId="4"/>
      <queryTableField id="5" name="INSS" tableColumnId="5"/>
      <queryTableField id="6" name="FGTS" tableColumnId="6"/>
      <queryTableField id="7" name="13o Salário" tableColumnId="7"/>
      <queryTableField id="8" name="Férias" tableColumnId="8"/>
      <queryTableField id="9" name="Total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293203B-2EB0-4192-B178-B2D414010D42}" autoFormatId="16" applyNumberFormats="0" applyBorderFormats="0" applyFontFormats="0" applyPatternFormats="0" applyAlignmentFormats="0" applyWidthHeightFormats="0">
  <queryTableRefresh nextId="12">
    <queryTableFields count="6">
      <queryTableField id="5" name="Data" tableColumnId="5"/>
      <queryTableField id="6" name="Descrição" tableColumnId="6"/>
      <queryTableField id="7" name="Valor (R$)" tableColumnId="7"/>
      <queryTableField id="8" name="Saldo (R$)" tableColumnId="8"/>
      <queryTableField id="10" name="Nome do Mês" tableColumnId="10"/>
      <queryTableField id="11" name="Categoria de Gasto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566B3C36-F5F7-4391-8ABD-CC969A9E3CD4}" autoFormatId="16" applyNumberFormats="0" applyBorderFormats="0" applyFontFormats="0" applyPatternFormats="0" applyAlignmentFormats="0" applyWidthHeightFormats="0">
  <queryTableRefresh nextId="7">
    <queryTableFields count="4">
      <queryTableField id="1" name="Mês" tableColumnId="1"/>
      <queryTableField id="2" name="Funcionário" tableColumnId="2"/>
      <queryTableField id="3" name="Qtde de Vendas" tableColumnId="3"/>
      <queryTableField id="4" name="Total  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48D814-9AA9-4B85-888D-8E64B4D868ED}" name="TB_Salarios_Func" displayName="TB_Salarios_Func" ref="A1:I4" tableType="queryTable" totalsRowShown="0">
  <autoFilter ref="A1:I4" xr:uid="{DE48D814-9AA9-4B85-888D-8E64B4D868ED}"/>
  <tableColumns count="9">
    <tableColumn id="1" xr3:uid="{ECA352A4-BEF1-47C9-8FA4-596BF89C748E}" uniqueName="1" name="Funcionário" queryTableFieldId="1" dataDxfId="16"/>
    <tableColumn id="2" xr3:uid="{DCEACE9C-EBB3-41BE-B84B-6B355355B8B6}" uniqueName="2" name="Salário mensal" queryTableFieldId="2" dataDxfId="15"/>
    <tableColumn id="3" xr3:uid="{CB27828D-81B6-4C14-913B-3DC4B5C74660}" uniqueName="3" name="Vale-Transporte " queryTableFieldId="3" dataDxfId="14"/>
    <tableColumn id="4" xr3:uid="{96B8AD69-F35D-434F-A17D-EF13FD8A96D6}" uniqueName="4" name="Total Mensal" queryTableFieldId="4" dataDxfId="13"/>
    <tableColumn id="5" xr3:uid="{C62C7141-300F-4510-94A0-C3F8875E99CC}" uniqueName="5" name="INSS" queryTableFieldId="5" dataDxfId="12"/>
    <tableColumn id="6" xr3:uid="{28B2B710-67EF-4609-9E06-438023B929FA}" uniqueName="6" name="FGTS" queryTableFieldId="6" dataDxfId="11"/>
    <tableColumn id="7" xr3:uid="{DB476F1E-28C9-4D9D-81B1-761D0796BEC6}" uniqueName="7" name="13o Salário" queryTableFieldId="7" dataDxfId="10"/>
    <tableColumn id="8" xr3:uid="{393EE009-BDB9-4A17-B904-1CC4DFD50B95}" uniqueName="8" name="Férias" queryTableFieldId="8" dataDxfId="9"/>
    <tableColumn id="9" xr3:uid="{3CC83EB3-FFDB-4BA8-B475-50E99BD5422F}" uniqueName="9" name="Total" queryTableFieldId="9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A8A8DE-9685-4F4A-9422-B83093439F1B}" name="Extrato" displayName="Extrato" ref="A1:F136" tableType="queryTable" totalsRowShown="0">
  <autoFilter ref="A1:F136" xr:uid="{89A8A8DE-9685-4F4A-9422-B83093439F1B}"/>
  <tableColumns count="6">
    <tableColumn id="5" xr3:uid="{EFC8B209-C41D-40B5-BF89-CD4B8505AE2C}" uniqueName="5" name="Data" queryTableFieldId="5" dataDxfId="7"/>
    <tableColumn id="6" xr3:uid="{A2947ABB-AB17-4DDD-8F74-5B486BD0D38D}" uniqueName="6" name="Descrição" queryTableFieldId="6" dataDxfId="6"/>
    <tableColumn id="7" xr3:uid="{CF61EBFE-84B0-4418-B592-29B589B9BB70}" uniqueName="7" name="Valor (R$)" queryTableFieldId="7" dataDxfId="5"/>
    <tableColumn id="8" xr3:uid="{6F23B582-2FA5-40F3-8663-3D8E662AA803}" uniqueName="8" name="Saldo (R$)" queryTableFieldId="8" dataDxfId="4"/>
    <tableColumn id="10" xr3:uid="{7C54E137-E2FD-456C-B76A-08B28812641B}" uniqueName="10" name="Nome do Mês" queryTableFieldId="10" dataDxfId="3"/>
    <tableColumn id="1" xr3:uid="{D41FD537-98D9-4DF8-86F7-2CD5294E3869}" uniqueName="1" name="Categoria de Gasto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EBA6FE-4297-4584-8882-D91663D9FC8C}" name="Produtividade_Funcionários" displayName="Produtividade_Funcionários" ref="A1:D25" tableType="queryTable" totalsRowShown="0">
  <autoFilter ref="A1:D25" xr:uid="{CFEBA6FE-4297-4584-8882-D91663D9FC8C}"/>
  <tableColumns count="4">
    <tableColumn id="1" xr3:uid="{CB6197B4-6FE8-4960-BF34-220C6AFF8C88}" uniqueName="1" name="Mês" queryTableFieldId="1" dataDxfId="2"/>
    <tableColumn id="2" xr3:uid="{AA0C023F-FB91-4D18-A006-DB9C4FA5DEA6}" uniqueName="2" name="Funcionário" queryTableFieldId="2" dataDxfId="1"/>
    <tableColumn id="3" xr3:uid="{FB51BA82-C84F-42EF-A60B-E254A887B68B}" uniqueName="3" name="Qtde de Vendas" queryTableFieldId="3"/>
    <tableColumn id="4" xr3:uid="{C6B75788-B096-4D2B-B252-C9728E3C3448}" uniqueName="4" name="Total  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22D1A-D6EA-4240-BC2F-F25E1FEFAE12}">
  <dimension ref="A1:I4"/>
  <sheetViews>
    <sheetView zoomScale="130" zoomScaleNormal="130" workbookViewId="0">
      <selection activeCell="F10" sqref="F10"/>
    </sheetView>
  </sheetViews>
  <sheetFormatPr defaultRowHeight="15"/>
  <cols>
    <col min="1" max="1" width="13.85546875" bestFit="1" customWidth="1"/>
    <col min="2" max="2" width="16.5703125" bestFit="1" customWidth="1"/>
    <col min="3" max="3" width="18.140625" bestFit="1" customWidth="1"/>
    <col min="4" max="4" width="14.5703125" bestFit="1" customWidth="1"/>
    <col min="5" max="6" width="11.140625" bestFit="1" customWidth="1"/>
    <col min="7" max="7" width="13" bestFit="1" customWidth="1"/>
    <col min="8" max="8" width="11.140625" bestFit="1" customWidth="1"/>
    <col min="9" max="9" width="12.7109375" bestFit="1" customWidth="1"/>
  </cols>
  <sheetData>
    <row r="1" spans="1:9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>
      <c r="A2" t="s">
        <v>17</v>
      </c>
      <c r="B2" s="2">
        <v>2308</v>
      </c>
      <c r="C2" s="2">
        <v>316.82</v>
      </c>
      <c r="D2" s="2">
        <v>2624.82</v>
      </c>
      <c r="E2" s="2">
        <v>461.6</v>
      </c>
      <c r="F2" s="2">
        <v>184.64000000000001</v>
      </c>
      <c r="G2" s="2">
        <v>192.33333333333334</v>
      </c>
      <c r="H2" s="2">
        <v>256.44444444444446</v>
      </c>
      <c r="I2" s="2">
        <v>3719.8377777777778</v>
      </c>
    </row>
    <row r="3" spans="1:9">
      <c r="A3" t="s">
        <v>18</v>
      </c>
      <c r="B3" s="2">
        <v>2968.94</v>
      </c>
      <c r="C3" s="2">
        <v>318.94</v>
      </c>
      <c r="D3" s="2">
        <v>3287.88</v>
      </c>
      <c r="E3" s="2">
        <v>593.78800000000001</v>
      </c>
      <c r="F3" s="2">
        <v>237.51520000000002</v>
      </c>
      <c r="G3" s="2">
        <v>247.41166666666666</v>
      </c>
      <c r="H3" s="2">
        <v>329.8822222222222</v>
      </c>
      <c r="I3" s="2">
        <v>4696.4770888888897</v>
      </c>
    </row>
    <row r="4" spans="1:9">
      <c r="A4" t="s">
        <v>19</v>
      </c>
      <c r="B4" s="2">
        <v>3108.7</v>
      </c>
      <c r="C4" s="2">
        <v>318.94</v>
      </c>
      <c r="D4" s="2">
        <v>3427.64</v>
      </c>
      <c r="E4" s="2">
        <v>621.74</v>
      </c>
      <c r="F4" s="2">
        <v>248.696</v>
      </c>
      <c r="G4" s="2">
        <v>259.05833333333334</v>
      </c>
      <c r="H4" s="2">
        <v>345.4111111111111</v>
      </c>
      <c r="I4" s="2">
        <v>4902.5454444444449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B6DCD-FCEB-4822-BE4B-C37D28480852}">
  <dimension ref="A1:F136"/>
  <sheetViews>
    <sheetView zoomScale="130" zoomScaleNormal="130" workbookViewId="0">
      <selection activeCell="D5" sqref="D5"/>
    </sheetView>
  </sheetViews>
  <sheetFormatPr defaultRowHeight="15"/>
  <cols>
    <col min="1" max="1" width="11.140625" bestFit="1" customWidth="1"/>
    <col min="2" max="2" width="22.7109375" bestFit="1" customWidth="1"/>
    <col min="3" max="4" width="13.85546875" style="2" bestFit="1" customWidth="1"/>
    <col min="5" max="5" width="15.7109375" style="2" bestFit="1" customWidth="1"/>
    <col min="6" max="6" width="20.7109375" style="2" bestFit="1" customWidth="1"/>
    <col min="7" max="7" width="3.5703125" customWidth="1"/>
    <col min="8" max="8" width="16.85546875" customWidth="1"/>
    <col min="9" max="9" width="16.5703125" customWidth="1"/>
  </cols>
  <sheetData>
    <row r="1" spans="1:6">
      <c r="A1" t="s">
        <v>0</v>
      </c>
      <c r="B1" t="s">
        <v>1</v>
      </c>
      <c r="C1" s="2" t="s">
        <v>2</v>
      </c>
      <c r="D1" s="2" t="s">
        <v>3</v>
      </c>
      <c r="E1" t="s">
        <v>25</v>
      </c>
      <c r="F1" t="s">
        <v>76</v>
      </c>
    </row>
    <row r="2" spans="1:6">
      <c r="A2" s="1">
        <v>45294</v>
      </c>
      <c r="B2" t="s">
        <v>55</v>
      </c>
      <c r="C2" s="2">
        <v>-2000</v>
      </c>
      <c r="D2" s="2">
        <v>28000</v>
      </c>
      <c r="E2" t="s">
        <v>26</v>
      </c>
      <c r="F2" t="s">
        <v>77</v>
      </c>
    </row>
    <row r="3" spans="1:6">
      <c r="A3" s="1">
        <v>45296</v>
      </c>
      <c r="B3" t="s">
        <v>56</v>
      </c>
      <c r="C3" s="2">
        <v>-150</v>
      </c>
      <c r="D3" s="2">
        <v>27850</v>
      </c>
      <c r="E3" t="s">
        <v>26</v>
      </c>
      <c r="F3" t="s">
        <v>78</v>
      </c>
    </row>
    <row r="4" spans="1:6">
      <c r="A4" s="1">
        <v>45296</v>
      </c>
      <c r="B4" t="s">
        <v>57</v>
      </c>
      <c r="C4" s="2">
        <v>-85</v>
      </c>
      <c r="D4" s="2">
        <v>27765</v>
      </c>
      <c r="E4" t="s">
        <v>26</v>
      </c>
      <c r="F4" t="s">
        <v>78</v>
      </c>
    </row>
    <row r="5" spans="1:6">
      <c r="A5" s="1">
        <v>45299</v>
      </c>
      <c r="B5" t="s">
        <v>58</v>
      </c>
      <c r="C5" s="2">
        <v>-700</v>
      </c>
      <c r="D5" s="2">
        <v>27065</v>
      </c>
      <c r="E5" t="s">
        <v>26</v>
      </c>
      <c r="F5" t="s">
        <v>77</v>
      </c>
    </row>
    <row r="6" spans="1:6">
      <c r="A6" s="1">
        <v>45301</v>
      </c>
      <c r="B6" t="s">
        <v>59</v>
      </c>
      <c r="C6" s="2">
        <v>-180</v>
      </c>
      <c r="D6" s="2">
        <v>26885</v>
      </c>
      <c r="E6" t="s">
        <v>26</v>
      </c>
      <c r="F6" t="s">
        <v>77</v>
      </c>
    </row>
    <row r="7" spans="1:6">
      <c r="A7" s="1">
        <v>45301</v>
      </c>
      <c r="B7" t="s">
        <v>60</v>
      </c>
      <c r="C7" s="2">
        <v>10163.75</v>
      </c>
      <c r="D7" s="2">
        <v>37048.75</v>
      </c>
      <c r="E7" t="s">
        <v>26</v>
      </c>
      <c r="F7" t="s">
        <v>79</v>
      </c>
    </row>
    <row r="8" spans="1:6">
      <c r="A8" s="1">
        <v>45303</v>
      </c>
      <c r="B8" t="s">
        <v>61</v>
      </c>
      <c r="C8" s="2">
        <v>-180</v>
      </c>
      <c r="D8" s="2">
        <v>36868.75</v>
      </c>
      <c r="E8" t="s">
        <v>26</v>
      </c>
      <c r="F8" t="s">
        <v>77</v>
      </c>
    </row>
    <row r="9" spans="1:6">
      <c r="A9" s="1">
        <v>45303</v>
      </c>
      <c r="B9" t="s">
        <v>62</v>
      </c>
      <c r="C9" s="2">
        <v>-99.9</v>
      </c>
      <c r="D9" s="2">
        <v>36768.85</v>
      </c>
      <c r="E9" t="s">
        <v>26</v>
      </c>
      <c r="F9" t="s">
        <v>78</v>
      </c>
    </row>
    <row r="10" spans="1:6">
      <c r="A10" s="1">
        <v>45306</v>
      </c>
      <c r="B10" t="s">
        <v>4</v>
      </c>
      <c r="C10" s="2">
        <v>-2624.82</v>
      </c>
      <c r="D10" s="2">
        <v>34144.03</v>
      </c>
      <c r="E10" t="s">
        <v>26</v>
      </c>
      <c r="F10" t="s">
        <v>80</v>
      </c>
    </row>
    <row r="11" spans="1:6">
      <c r="A11" s="1">
        <v>45306</v>
      </c>
      <c r="B11" t="s">
        <v>5</v>
      </c>
      <c r="C11" s="2">
        <v>-3287.88</v>
      </c>
      <c r="D11" s="2">
        <v>30856.15</v>
      </c>
      <c r="E11" t="s">
        <v>26</v>
      </c>
      <c r="F11" t="s">
        <v>80</v>
      </c>
    </row>
    <row r="12" spans="1:6">
      <c r="A12" s="1">
        <v>45306</v>
      </c>
      <c r="B12" t="s">
        <v>6</v>
      </c>
      <c r="C12" s="2">
        <v>-3427.64</v>
      </c>
      <c r="D12" s="2">
        <v>27428.51</v>
      </c>
      <c r="E12" t="s">
        <v>26</v>
      </c>
      <c r="F12" t="s">
        <v>80</v>
      </c>
    </row>
    <row r="13" spans="1:6">
      <c r="A13" s="1">
        <v>45311</v>
      </c>
      <c r="B13" t="s">
        <v>7</v>
      </c>
      <c r="C13" s="2">
        <v>-2847.98</v>
      </c>
      <c r="D13" s="2">
        <v>24580.53</v>
      </c>
      <c r="E13" t="s">
        <v>26</v>
      </c>
      <c r="F13" t="s">
        <v>81</v>
      </c>
    </row>
    <row r="14" spans="1:6">
      <c r="A14" s="1">
        <v>45311</v>
      </c>
      <c r="B14" t="s">
        <v>63</v>
      </c>
      <c r="C14" s="2">
        <v>-850</v>
      </c>
      <c r="D14" s="2">
        <v>23730.53</v>
      </c>
      <c r="E14" t="s">
        <v>26</v>
      </c>
      <c r="F14" t="s">
        <v>77</v>
      </c>
    </row>
    <row r="15" spans="1:6">
      <c r="A15" s="1">
        <v>45316</v>
      </c>
      <c r="B15" t="s">
        <v>64</v>
      </c>
      <c r="C15" s="2">
        <v>-700</v>
      </c>
      <c r="D15" s="2">
        <v>23030.53</v>
      </c>
      <c r="E15" t="s">
        <v>26</v>
      </c>
      <c r="F15" t="s">
        <v>77</v>
      </c>
    </row>
    <row r="16" spans="1:6">
      <c r="A16" s="1">
        <v>45319</v>
      </c>
      <c r="B16" t="s">
        <v>65</v>
      </c>
      <c r="C16" s="2">
        <v>-150</v>
      </c>
      <c r="D16" s="2">
        <v>22880.53</v>
      </c>
      <c r="E16" t="s">
        <v>26</v>
      </c>
      <c r="F16" t="s">
        <v>78</v>
      </c>
    </row>
    <row r="17" spans="1:6">
      <c r="A17" s="1">
        <v>45321</v>
      </c>
      <c r="B17" t="s">
        <v>60</v>
      </c>
      <c r="C17" s="2">
        <v>10163.75</v>
      </c>
      <c r="D17" s="2">
        <v>33044.28</v>
      </c>
      <c r="E17" t="s">
        <v>26</v>
      </c>
      <c r="F17" t="s">
        <v>79</v>
      </c>
    </row>
    <row r="18" spans="1:6">
      <c r="A18" s="1">
        <v>45321</v>
      </c>
      <c r="B18" t="s">
        <v>66</v>
      </c>
      <c r="C18" s="2">
        <v>-1000</v>
      </c>
      <c r="D18" s="2">
        <v>32044.28</v>
      </c>
      <c r="E18" t="s">
        <v>26</v>
      </c>
      <c r="F18" t="s">
        <v>78</v>
      </c>
    </row>
    <row r="19" spans="1:6">
      <c r="A19" s="1">
        <v>45322</v>
      </c>
      <c r="B19" t="s">
        <v>67</v>
      </c>
      <c r="C19" s="2">
        <v>-200</v>
      </c>
      <c r="D19" s="2">
        <v>31844.28</v>
      </c>
      <c r="E19" t="s">
        <v>26</v>
      </c>
      <c r="F19" t="s">
        <v>78</v>
      </c>
    </row>
    <row r="20" spans="1:6">
      <c r="A20" s="1">
        <v>45325</v>
      </c>
      <c r="B20" t="s">
        <v>55</v>
      </c>
      <c r="C20" s="2">
        <v>-2000</v>
      </c>
      <c r="D20" s="2">
        <v>29844.28</v>
      </c>
      <c r="E20" t="s">
        <v>27</v>
      </c>
      <c r="F20" t="s">
        <v>77</v>
      </c>
    </row>
    <row r="21" spans="1:6">
      <c r="A21" s="1">
        <v>45327</v>
      </c>
      <c r="B21" t="s">
        <v>56</v>
      </c>
      <c r="C21" s="2">
        <v>-120</v>
      </c>
      <c r="D21" s="2">
        <v>29724.28</v>
      </c>
      <c r="E21" t="s">
        <v>27</v>
      </c>
      <c r="F21" t="s">
        <v>78</v>
      </c>
    </row>
    <row r="22" spans="1:6">
      <c r="A22" s="1">
        <v>45327</v>
      </c>
      <c r="B22" t="s">
        <v>57</v>
      </c>
      <c r="C22" s="2">
        <v>-75</v>
      </c>
      <c r="D22" s="2">
        <v>29649.279999999999</v>
      </c>
      <c r="E22" t="s">
        <v>27</v>
      </c>
      <c r="F22" t="s">
        <v>78</v>
      </c>
    </row>
    <row r="23" spans="1:6">
      <c r="A23" s="1">
        <v>45330</v>
      </c>
      <c r="B23" t="s">
        <v>58</v>
      </c>
      <c r="C23" s="2">
        <v>-850</v>
      </c>
      <c r="D23" s="2">
        <v>28799.279999999999</v>
      </c>
      <c r="E23" t="s">
        <v>27</v>
      </c>
      <c r="F23" t="s">
        <v>77</v>
      </c>
    </row>
    <row r="24" spans="1:6">
      <c r="A24" s="1">
        <v>45332</v>
      </c>
      <c r="B24" t="s">
        <v>60</v>
      </c>
      <c r="C24" s="2">
        <v>10185.5</v>
      </c>
      <c r="D24" s="2">
        <v>38984.78</v>
      </c>
      <c r="E24" t="s">
        <v>27</v>
      </c>
      <c r="F24" t="s">
        <v>79</v>
      </c>
    </row>
    <row r="25" spans="1:6">
      <c r="A25" s="1">
        <v>45334</v>
      </c>
      <c r="B25" t="s">
        <v>68</v>
      </c>
      <c r="C25" s="2">
        <v>-55</v>
      </c>
      <c r="D25" s="2">
        <v>38929.78</v>
      </c>
      <c r="E25" t="s">
        <v>27</v>
      </c>
      <c r="F25" t="s">
        <v>78</v>
      </c>
    </row>
    <row r="26" spans="1:6">
      <c r="A26" s="1">
        <v>45334</v>
      </c>
      <c r="B26" t="s">
        <v>61</v>
      </c>
      <c r="C26" s="2">
        <v>-180</v>
      </c>
      <c r="D26" s="2">
        <v>38749.78</v>
      </c>
      <c r="E26" t="s">
        <v>27</v>
      </c>
      <c r="F26" t="s">
        <v>77</v>
      </c>
    </row>
    <row r="27" spans="1:6">
      <c r="A27" s="1">
        <v>45334</v>
      </c>
      <c r="B27" t="s">
        <v>62</v>
      </c>
      <c r="C27" s="2">
        <v>-99.9</v>
      </c>
      <c r="D27" s="2">
        <v>38649.879999999997</v>
      </c>
      <c r="E27" t="s">
        <v>27</v>
      </c>
      <c r="F27" t="s">
        <v>78</v>
      </c>
    </row>
    <row r="28" spans="1:6">
      <c r="A28" s="1">
        <v>45337</v>
      </c>
      <c r="B28" t="s">
        <v>4</v>
      </c>
      <c r="C28" s="2">
        <v>-2624.82</v>
      </c>
      <c r="D28" s="2">
        <v>36025.06</v>
      </c>
      <c r="E28" t="s">
        <v>27</v>
      </c>
      <c r="F28" t="s">
        <v>80</v>
      </c>
    </row>
    <row r="29" spans="1:6">
      <c r="A29" s="1">
        <v>45337</v>
      </c>
      <c r="B29" t="s">
        <v>5</v>
      </c>
      <c r="C29" s="2">
        <v>-3287.88</v>
      </c>
      <c r="D29" s="2">
        <v>32737.18</v>
      </c>
      <c r="E29" t="s">
        <v>27</v>
      </c>
      <c r="F29" t="s">
        <v>80</v>
      </c>
    </row>
    <row r="30" spans="1:6">
      <c r="A30" s="1">
        <v>45337</v>
      </c>
      <c r="B30" t="s">
        <v>6</v>
      </c>
      <c r="C30" s="2">
        <v>-3427.64</v>
      </c>
      <c r="D30" s="2">
        <v>29309.54</v>
      </c>
      <c r="E30" t="s">
        <v>27</v>
      </c>
      <c r="F30" t="s">
        <v>80</v>
      </c>
    </row>
    <row r="31" spans="1:6">
      <c r="A31" s="1">
        <v>45342</v>
      </c>
      <c r="B31" t="s">
        <v>7</v>
      </c>
      <c r="C31" s="2">
        <v>-2847.98</v>
      </c>
      <c r="D31" s="2">
        <v>26461.56</v>
      </c>
      <c r="E31" t="s">
        <v>27</v>
      </c>
      <c r="F31" t="s">
        <v>81</v>
      </c>
    </row>
    <row r="32" spans="1:6">
      <c r="A32" s="1">
        <v>45342</v>
      </c>
      <c r="B32" t="s">
        <v>63</v>
      </c>
      <c r="C32" s="2">
        <v>-950</v>
      </c>
      <c r="D32" s="2">
        <v>25511.56</v>
      </c>
      <c r="E32" t="s">
        <v>27</v>
      </c>
      <c r="F32" t="s">
        <v>77</v>
      </c>
    </row>
    <row r="33" spans="1:6">
      <c r="A33" s="1">
        <v>45347</v>
      </c>
      <c r="B33" t="s">
        <v>64</v>
      </c>
      <c r="C33" s="2">
        <v>-700</v>
      </c>
      <c r="D33" s="2">
        <v>24811.56</v>
      </c>
      <c r="E33" t="s">
        <v>27</v>
      </c>
      <c r="F33" t="s">
        <v>77</v>
      </c>
    </row>
    <row r="34" spans="1:6">
      <c r="A34" s="1">
        <v>45350</v>
      </c>
      <c r="B34" t="s">
        <v>65</v>
      </c>
      <c r="C34" s="2">
        <v>-150</v>
      </c>
      <c r="D34" s="2">
        <v>24661.56</v>
      </c>
      <c r="E34" t="s">
        <v>27</v>
      </c>
      <c r="F34" t="s">
        <v>78</v>
      </c>
    </row>
    <row r="35" spans="1:6">
      <c r="A35" s="1">
        <v>45350</v>
      </c>
      <c r="B35" t="s">
        <v>69</v>
      </c>
      <c r="C35" s="2">
        <v>-100</v>
      </c>
      <c r="D35" s="2">
        <v>24561.56</v>
      </c>
      <c r="E35" t="s">
        <v>27</v>
      </c>
      <c r="F35" t="s">
        <v>78</v>
      </c>
    </row>
    <row r="36" spans="1:6">
      <c r="A36" s="1">
        <v>45351</v>
      </c>
      <c r="B36" t="s">
        <v>60</v>
      </c>
      <c r="C36" s="2">
        <v>10485.5</v>
      </c>
      <c r="D36" s="2">
        <v>35047.06</v>
      </c>
      <c r="E36" t="s">
        <v>27</v>
      </c>
      <c r="F36" t="s">
        <v>79</v>
      </c>
    </row>
    <row r="37" spans="1:6">
      <c r="A37" s="1">
        <v>45351</v>
      </c>
      <c r="B37" t="s">
        <v>66</v>
      </c>
      <c r="C37" s="2">
        <v>-1000</v>
      </c>
      <c r="D37" s="2">
        <v>34047.06</v>
      </c>
      <c r="E37" t="s">
        <v>27</v>
      </c>
      <c r="F37" t="s">
        <v>78</v>
      </c>
    </row>
    <row r="38" spans="1:6">
      <c r="A38" s="1">
        <v>45354</v>
      </c>
      <c r="B38" t="s">
        <v>55</v>
      </c>
      <c r="C38" s="2">
        <v>-2000</v>
      </c>
      <c r="D38" s="2">
        <v>32047.06</v>
      </c>
      <c r="E38" t="s">
        <v>28</v>
      </c>
      <c r="F38" t="s">
        <v>77</v>
      </c>
    </row>
    <row r="39" spans="1:6">
      <c r="A39" s="1">
        <v>45356</v>
      </c>
      <c r="B39" t="s">
        <v>56</v>
      </c>
      <c r="C39" s="2">
        <v>-95</v>
      </c>
      <c r="D39" s="2">
        <v>31952.06</v>
      </c>
      <c r="E39" t="s">
        <v>28</v>
      </c>
      <c r="F39" t="s">
        <v>78</v>
      </c>
    </row>
    <row r="40" spans="1:6">
      <c r="A40" s="1">
        <v>45356</v>
      </c>
      <c r="B40" t="s">
        <v>57</v>
      </c>
      <c r="C40" s="2">
        <v>-70</v>
      </c>
      <c r="D40" s="2">
        <v>31882.06</v>
      </c>
      <c r="E40" t="s">
        <v>28</v>
      </c>
      <c r="F40" t="s">
        <v>78</v>
      </c>
    </row>
    <row r="41" spans="1:6">
      <c r="A41" s="1">
        <v>45359</v>
      </c>
      <c r="B41" t="s">
        <v>58</v>
      </c>
      <c r="C41" s="2">
        <v>-730</v>
      </c>
      <c r="D41" s="2">
        <v>31152.06</v>
      </c>
      <c r="E41" t="s">
        <v>28</v>
      </c>
      <c r="F41" t="s">
        <v>77</v>
      </c>
    </row>
    <row r="42" spans="1:6">
      <c r="A42" s="1">
        <v>45361</v>
      </c>
      <c r="B42" t="s">
        <v>60</v>
      </c>
      <c r="C42" s="2">
        <v>10501.92</v>
      </c>
      <c r="D42" s="2">
        <v>41653.980000000003</v>
      </c>
      <c r="E42" t="s">
        <v>28</v>
      </c>
      <c r="F42" t="s">
        <v>79</v>
      </c>
    </row>
    <row r="43" spans="1:6">
      <c r="A43" s="1">
        <v>45363</v>
      </c>
      <c r="B43" t="s">
        <v>69</v>
      </c>
      <c r="C43" s="2">
        <v>-95</v>
      </c>
      <c r="D43" s="2">
        <v>41558.980000000003</v>
      </c>
      <c r="E43" t="s">
        <v>28</v>
      </c>
      <c r="F43" t="s">
        <v>78</v>
      </c>
    </row>
    <row r="44" spans="1:6">
      <c r="A44" s="1">
        <v>45363</v>
      </c>
      <c r="B44" t="s">
        <v>61</v>
      </c>
      <c r="C44" s="2">
        <v>-180</v>
      </c>
      <c r="D44" s="2">
        <v>41378.980000000003</v>
      </c>
      <c r="E44" t="s">
        <v>28</v>
      </c>
      <c r="F44" t="s">
        <v>77</v>
      </c>
    </row>
    <row r="45" spans="1:6">
      <c r="A45" s="1">
        <v>45363</v>
      </c>
      <c r="B45" t="s">
        <v>62</v>
      </c>
      <c r="C45" s="2">
        <v>-99.9</v>
      </c>
      <c r="D45" s="2">
        <v>41279.08</v>
      </c>
      <c r="E45" t="s">
        <v>28</v>
      </c>
      <c r="F45" t="s">
        <v>78</v>
      </c>
    </row>
    <row r="46" spans="1:6">
      <c r="A46" s="1">
        <v>45364</v>
      </c>
      <c r="B46" t="s">
        <v>70</v>
      </c>
      <c r="C46" s="2">
        <v>-55</v>
      </c>
      <c r="D46" s="2">
        <v>41224.080000000002</v>
      </c>
      <c r="E46" t="s">
        <v>28</v>
      </c>
      <c r="F46" t="s">
        <v>78</v>
      </c>
    </row>
    <row r="47" spans="1:6">
      <c r="A47" s="1">
        <v>45366</v>
      </c>
      <c r="B47" t="s">
        <v>4</v>
      </c>
      <c r="C47" s="2">
        <v>-2624.82</v>
      </c>
      <c r="D47" s="2">
        <v>38599.26</v>
      </c>
      <c r="E47" t="s">
        <v>28</v>
      </c>
      <c r="F47" t="s">
        <v>80</v>
      </c>
    </row>
    <row r="48" spans="1:6">
      <c r="A48" s="1">
        <v>45366</v>
      </c>
      <c r="B48" t="s">
        <v>5</v>
      </c>
      <c r="C48" s="2">
        <v>-3287.88</v>
      </c>
      <c r="D48" s="2">
        <v>35311.379999999997</v>
      </c>
      <c r="E48" t="s">
        <v>28</v>
      </c>
      <c r="F48" t="s">
        <v>80</v>
      </c>
    </row>
    <row r="49" spans="1:6">
      <c r="A49" s="1">
        <v>45366</v>
      </c>
      <c r="B49" t="s">
        <v>6</v>
      </c>
      <c r="C49" s="2">
        <v>-3427.64</v>
      </c>
      <c r="D49" s="2">
        <v>31883.74</v>
      </c>
      <c r="E49" t="s">
        <v>28</v>
      </c>
      <c r="F49" t="s">
        <v>80</v>
      </c>
    </row>
    <row r="50" spans="1:6">
      <c r="A50" s="1">
        <v>45371</v>
      </c>
      <c r="B50" t="s">
        <v>7</v>
      </c>
      <c r="C50" s="2">
        <v>-2847.98</v>
      </c>
      <c r="D50" s="2">
        <v>29035.759999999998</v>
      </c>
      <c r="E50" t="s">
        <v>28</v>
      </c>
      <c r="F50" t="s">
        <v>81</v>
      </c>
    </row>
    <row r="51" spans="1:6">
      <c r="A51" s="1">
        <v>45371</v>
      </c>
      <c r="B51" t="s">
        <v>63</v>
      </c>
      <c r="C51" s="2">
        <v>-1000</v>
      </c>
      <c r="D51" s="2">
        <v>28035.759999999998</v>
      </c>
      <c r="E51" t="s">
        <v>28</v>
      </c>
      <c r="F51" t="s">
        <v>77</v>
      </c>
    </row>
    <row r="52" spans="1:6">
      <c r="A52" s="1">
        <v>45376</v>
      </c>
      <c r="B52" t="s">
        <v>64</v>
      </c>
      <c r="C52" s="2">
        <v>-800</v>
      </c>
      <c r="D52" s="2">
        <v>27235.759999999998</v>
      </c>
      <c r="E52" t="s">
        <v>28</v>
      </c>
      <c r="F52" t="s">
        <v>77</v>
      </c>
    </row>
    <row r="53" spans="1:6">
      <c r="A53" s="1">
        <v>45379</v>
      </c>
      <c r="B53" t="s">
        <v>65</v>
      </c>
      <c r="C53" s="2">
        <v>-150</v>
      </c>
      <c r="D53" s="2">
        <v>27085.759999999998</v>
      </c>
      <c r="E53" t="s">
        <v>28</v>
      </c>
      <c r="F53" t="s">
        <v>78</v>
      </c>
    </row>
    <row r="54" spans="1:6">
      <c r="A54" s="1">
        <v>45379</v>
      </c>
      <c r="B54" t="s">
        <v>69</v>
      </c>
      <c r="C54" s="2">
        <v>-95</v>
      </c>
      <c r="D54" s="2">
        <v>26990.76</v>
      </c>
      <c r="E54" t="s">
        <v>28</v>
      </c>
      <c r="F54" t="s">
        <v>78</v>
      </c>
    </row>
    <row r="55" spans="1:6">
      <c r="A55" s="1">
        <v>45381</v>
      </c>
      <c r="B55" t="s">
        <v>71</v>
      </c>
      <c r="C55" s="2">
        <v>-15</v>
      </c>
      <c r="D55" s="2">
        <v>26975.759999999998</v>
      </c>
      <c r="E55" t="s">
        <v>28</v>
      </c>
      <c r="F55" t="s">
        <v>78</v>
      </c>
    </row>
    <row r="56" spans="1:6">
      <c r="A56" s="1">
        <v>45381</v>
      </c>
      <c r="B56" t="s">
        <v>69</v>
      </c>
      <c r="C56" s="2">
        <v>-50</v>
      </c>
      <c r="D56" s="2">
        <v>26925.759999999998</v>
      </c>
      <c r="E56" t="s">
        <v>28</v>
      </c>
      <c r="F56" t="s">
        <v>78</v>
      </c>
    </row>
    <row r="57" spans="1:6">
      <c r="A57" s="1">
        <v>45381</v>
      </c>
      <c r="B57" t="s">
        <v>60</v>
      </c>
      <c r="C57" s="2">
        <v>10483.08</v>
      </c>
      <c r="D57" s="2">
        <v>37408.839999999997</v>
      </c>
      <c r="E57" t="s">
        <v>28</v>
      </c>
      <c r="F57" t="s">
        <v>79</v>
      </c>
    </row>
    <row r="58" spans="1:6">
      <c r="A58" s="1">
        <v>45381</v>
      </c>
      <c r="B58" t="s">
        <v>66</v>
      </c>
      <c r="C58" s="2">
        <v>-1000</v>
      </c>
      <c r="D58" s="2">
        <v>36408.839999999997</v>
      </c>
      <c r="E58" t="s">
        <v>28</v>
      </c>
      <c r="F58" t="s">
        <v>78</v>
      </c>
    </row>
    <row r="59" spans="1:6">
      <c r="A59" s="1">
        <v>45382</v>
      </c>
      <c r="B59" t="s">
        <v>69</v>
      </c>
      <c r="C59" s="2">
        <v>-56.5</v>
      </c>
      <c r="D59" s="2">
        <v>36352.339999999997</v>
      </c>
      <c r="E59" t="s">
        <v>28</v>
      </c>
      <c r="F59" t="s">
        <v>78</v>
      </c>
    </row>
    <row r="60" spans="1:6">
      <c r="A60" s="1">
        <v>45382</v>
      </c>
      <c r="B60" t="s">
        <v>71</v>
      </c>
      <c r="C60" s="2">
        <v>-35</v>
      </c>
      <c r="D60" s="2">
        <v>36317.339999999997</v>
      </c>
      <c r="E60" t="s">
        <v>28</v>
      </c>
      <c r="F60" t="s">
        <v>78</v>
      </c>
    </row>
    <row r="61" spans="1:6">
      <c r="A61" s="1">
        <v>45385</v>
      </c>
      <c r="B61" t="s">
        <v>55</v>
      </c>
      <c r="C61" s="2">
        <v>-2000</v>
      </c>
      <c r="D61" s="2">
        <v>34317.339999999997</v>
      </c>
      <c r="E61" t="s">
        <v>29</v>
      </c>
      <c r="F61" t="s">
        <v>77</v>
      </c>
    </row>
    <row r="62" spans="1:6">
      <c r="A62" s="1">
        <v>45387</v>
      </c>
      <c r="B62" t="s">
        <v>56</v>
      </c>
      <c r="C62" s="2">
        <v>-115</v>
      </c>
      <c r="D62" s="2">
        <v>34202.339999999997</v>
      </c>
      <c r="E62" t="s">
        <v>29</v>
      </c>
      <c r="F62" t="s">
        <v>78</v>
      </c>
    </row>
    <row r="63" spans="1:6">
      <c r="A63" s="1">
        <v>45387</v>
      </c>
      <c r="B63" t="s">
        <v>57</v>
      </c>
      <c r="C63" s="2">
        <v>-75</v>
      </c>
      <c r="D63" s="2">
        <v>34127.339999999997</v>
      </c>
      <c r="E63" t="s">
        <v>29</v>
      </c>
      <c r="F63" t="s">
        <v>78</v>
      </c>
    </row>
    <row r="64" spans="1:6">
      <c r="A64" s="1">
        <v>45390</v>
      </c>
      <c r="B64" t="s">
        <v>58</v>
      </c>
      <c r="C64" s="2">
        <v>-730</v>
      </c>
      <c r="D64" s="2">
        <v>33397.339999999997</v>
      </c>
      <c r="E64" t="s">
        <v>29</v>
      </c>
      <c r="F64" t="s">
        <v>77</v>
      </c>
    </row>
    <row r="65" spans="1:6">
      <c r="A65" s="1">
        <v>45392</v>
      </c>
      <c r="B65" t="s">
        <v>60</v>
      </c>
      <c r="C65" s="2">
        <v>10600</v>
      </c>
      <c r="D65" s="2">
        <v>43997.34</v>
      </c>
      <c r="E65" t="s">
        <v>29</v>
      </c>
      <c r="F65" t="s">
        <v>79</v>
      </c>
    </row>
    <row r="66" spans="1:6">
      <c r="A66" s="1">
        <v>45394</v>
      </c>
      <c r="B66" t="s">
        <v>61</v>
      </c>
      <c r="C66" s="2">
        <v>-180</v>
      </c>
      <c r="D66" s="2">
        <v>43817.34</v>
      </c>
      <c r="E66" t="s">
        <v>29</v>
      </c>
      <c r="F66" t="s">
        <v>77</v>
      </c>
    </row>
    <row r="67" spans="1:6">
      <c r="A67" s="1">
        <v>45394</v>
      </c>
      <c r="B67" t="s">
        <v>62</v>
      </c>
      <c r="C67" s="2">
        <v>-99.9</v>
      </c>
      <c r="D67" s="2">
        <v>43717.440000000002</v>
      </c>
      <c r="E67" t="s">
        <v>29</v>
      </c>
      <c r="F67" t="s">
        <v>78</v>
      </c>
    </row>
    <row r="68" spans="1:6">
      <c r="A68" s="1">
        <v>45397</v>
      </c>
      <c r="B68" t="s">
        <v>4</v>
      </c>
      <c r="C68" s="2">
        <v>-2624.82</v>
      </c>
      <c r="D68" s="2">
        <v>41092.620000000003</v>
      </c>
      <c r="E68" t="s">
        <v>29</v>
      </c>
      <c r="F68" t="s">
        <v>80</v>
      </c>
    </row>
    <row r="69" spans="1:6">
      <c r="A69" s="1">
        <v>45397</v>
      </c>
      <c r="B69" t="s">
        <v>5</v>
      </c>
      <c r="C69" s="2">
        <v>-3287.88</v>
      </c>
      <c r="D69" s="2">
        <v>37804.74</v>
      </c>
      <c r="E69" t="s">
        <v>29</v>
      </c>
      <c r="F69" t="s">
        <v>80</v>
      </c>
    </row>
    <row r="70" spans="1:6">
      <c r="A70" s="1">
        <v>45397</v>
      </c>
      <c r="B70" t="s">
        <v>6</v>
      </c>
      <c r="C70" s="2">
        <v>-3427.64</v>
      </c>
      <c r="D70" s="2">
        <v>34377.1</v>
      </c>
      <c r="E70" t="s">
        <v>29</v>
      </c>
      <c r="F70" t="s">
        <v>80</v>
      </c>
    </row>
    <row r="71" spans="1:6">
      <c r="A71" s="1">
        <v>45402</v>
      </c>
      <c r="B71" t="s">
        <v>7</v>
      </c>
      <c r="C71" s="2">
        <v>-2847.98</v>
      </c>
      <c r="D71" s="2">
        <v>31529.119999999999</v>
      </c>
      <c r="E71" t="s">
        <v>29</v>
      </c>
      <c r="F71" t="s">
        <v>81</v>
      </c>
    </row>
    <row r="72" spans="1:6">
      <c r="A72" s="1">
        <v>45402</v>
      </c>
      <c r="B72" t="s">
        <v>63</v>
      </c>
      <c r="C72" s="2">
        <v>-900</v>
      </c>
      <c r="D72" s="2">
        <v>30629.119999999999</v>
      </c>
      <c r="E72" t="s">
        <v>29</v>
      </c>
      <c r="F72" t="s">
        <v>77</v>
      </c>
    </row>
    <row r="73" spans="1:6">
      <c r="A73" s="1">
        <v>45407</v>
      </c>
      <c r="B73" t="s">
        <v>64</v>
      </c>
      <c r="C73" s="2">
        <v>-600</v>
      </c>
      <c r="D73" s="2">
        <v>30029.119999999999</v>
      </c>
      <c r="E73" t="s">
        <v>29</v>
      </c>
      <c r="F73" t="s">
        <v>77</v>
      </c>
    </row>
    <row r="74" spans="1:6">
      <c r="A74" s="1">
        <v>45410</v>
      </c>
      <c r="B74" t="s">
        <v>65</v>
      </c>
      <c r="C74" s="2">
        <v>-200</v>
      </c>
      <c r="D74" s="2">
        <v>29829.119999999999</v>
      </c>
      <c r="E74" t="s">
        <v>29</v>
      </c>
      <c r="F74" t="s">
        <v>78</v>
      </c>
    </row>
    <row r="75" spans="1:6">
      <c r="A75" s="1">
        <v>45412</v>
      </c>
      <c r="B75" t="s">
        <v>60</v>
      </c>
      <c r="C75" s="2">
        <v>10550</v>
      </c>
      <c r="D75" s="2">
        <v>40379.120000000003</v>
      </c>
      <c r="E75" t="s">
        <v>29</v>
      </c>
      <c r="F75" t="s">
        <v>79</v>
      </c>
    </row>
    <row r="76" spans="1:6">
      <c r="A76" s="1">
        <v>45412</v>
      </c>
      <c r="B76" t="s">
        <v>66</v>
      </c>
      <c r="C76" s="2">
        <v>-1000</v>
      </c>
      <c r="D76" s="2">
        <v>39379.120000000003</v>
      </c>
      <c r="E76" t="s">
        <v>29</v>
      </c>
      <c r="F76" t="s">
        <v>78</v>
      </c>
    </row>
    <row r="77" spans="1:6">
      <c r="A77" s="1">
        <v>45412</v>
      </c>
      <c r="B77" t="s">
        <v>72</v>
      </c>
      <c r="C77" s="2">
        <v>-350</v>
      </c>
      <c r="D77" s="2">
        <v>39029.120000000003</v>
      </c>
      <c r="E77" t="s">
        <v>29</v>
      </c>
      <c r="F77" t="s">
        <v>78</v>
      </c>
    </row>
    <row r="78" spans="1:6">
      <c r="A78" s="1">
        <v>45412</v>
      </c>
      <c r="B78" t="s">
        <v>69</v>
      </c>
      <c r="C78" s="2">
        <v>-65.2</v>
      </c>
      <c r="D78" s="2">
        <v>38963.919999999998</v>
      </c>
      <c r="E78" t="s">
        <v>29</v>
      </c>
      <c r="F78" t="s">
        <v>78</v>
      </c>
    </row>
    <row r="79" spans="1:6">
      <c r="A79" s="1">
        <v>45415</v>
      </c>
      <c r="B79" t="s">
        <v>55</v>
      </c>
      <c r="C79" s="2">
        <v>-2000</v>
      </c>
      <c r="D79" s="2">
        <v>36963.919999999998</v>
      </c>
      <c r="E79" t="s">
        <v>30</v>
      </c>
      <c r="F79" t="s">
        <v>77</v>
      </c>
    </row>
    <row r="80" spans="1:6">
      <c r="A80" s="1">
        <v>45417</v>
      </c>
      <c r="B80" t="s">
        <v>56</v>
      </c>
      <c r="C80" s="2">
        <v>-125</v>
      </c>
      <c r="D80" s="2">
        <v>36838.92</v>
      </c>
      <c r="E80" t="s">
        <v>30</v>
      </c>
      <c r="F80" t="s">
        <v>78</v>
      </c>
    </row>
    <row r="81" spans="1:6">
      <c r="A81" s="1">
        <v>45417</v>
      </c>
      <c r="B81" t="s">
        <v>57</v>
      </c>
      <c r="C81" s="2">
        <v>-75</v>
      </c>
      <c r="D81" s="2">
        <v>36763.919999999998</v>
      </c>
      <c r="E81" t="s">
        <v>30</v>
      </c>
      <c r="F81" t="s">
        <v>78</v>
      </c>
    </row>
    <row r="82" spans="1:6">
      <c r="A82" s="1">
        <v>45420</v>
      </c>
      <c r="B82" t="s">
        <v>58</v>
      </c>
      <c r="C82" s="2">
        <v>-850</v>
      </c>
      <c r="D82" s="2">
        <v>35913.919999999998</v>
      </c>
      <c r="E82" t="s">
        <v>30</v>
      </c>
      <c r="F82" t="s">
        <v>77</v>
      </c>
    </row>
    <row r="83" spans="1:6">
      <c r="A83" s="1">
        <v>45422</v>
      </c>
      <c r="B83" t="s">
        <v>60</v>
      </c>
      <c r="C83" s="2">
        <v>10900</v>
      </c>
      <c r="D83" s="2">
        <v>46813.919999999998</v>
      </c>
      <c r="E83" t="s">
        <v>30</v>
      </c>
      <c r="F83" t="s">
        <v>79</v>
      </c>
    </row>
    <row r="84" spans="1:6">
      <c r="A84" s="1">
        <v>45424</v>
      </c>
      <c r="B84" t="s">
        <v>61</v>
      </c>
      <c r="C84" s="2">
        <v>-180</v>
      </c>
      <c r="D84" s="2">
        <v>46633.919999999998</v>
      </c>
      <c r="E84" t="s">
        <v>30</v>
      </c>
      <c r="F84" t="s">
        <v>77</v>
      </c>
    </row>
    <row r="85" spans="1:6">
      <c r="A85" s="1">
        <v>45424</v>
      </c>
      <c r="B85" t="s">
        <v>62</v>
      </c>
      <c r="C85" s="2">
        <v>-99.9</v>
      </c>
      <c r="D85" s="2">
        <v>46534.02</v>
      </c>
      <c r="E85" t="s">
        <v>30</v>
      </c>
      <c r="F85" t="s">
        <v>78</v>
      </c>
    </row>
    <row r="86" spans="1:6">
      <c r="A86" s="1">
        <v>45427</v>
      </c>
      <c r="B86" t="s">
        <v>4</v>
      </c>
      <c r="C86" s="2">
        <v>-2624.82</v>
      </c>
      <c r="D86" s="2">
        <v>43909.2</v>
      </c>
      <c r="E86" t="s">
        <v>30</v>
      </c>
      <c r="F86" t="s">
        <v>80</v>
      </c>
    </row>
    <row r="87" spans="1:6">
      <c r="A87" s="1">
        <v>45427</v>
      </c>
      <c r="B87" t="s">
        <v>5</v>
      </c>
      <c r="C87" s="2">
        <v>-3287.88</v>
      </c>
      <c r="D87" s="2">
        <v>40621.32</v>
      </c>
      <c r="E87" t="s">
        <v>30</v>
      </c>
      <c r="F87" t="s">
        <v>80</v>
      </c>
    </row>
    <row r="88" spans="1:6">
      <c r="A88" s="1">
        <v>45427</v>
      </c>
      <c r="B88" t="s">
        <v>6</v>
      </c>
      <c r="C88" s="2">
        <v>-3427.64</v>
      </c>
      <c r="D88" s="2">
        <v>37193.68</v>
      </c>
      <c r="E88" t="s">
        <v>30</v>
      </c>
      <c r="F88" t="s">
        <v>80</v>
      </c>
    </row>
    <row r="89" spans="1:6">
      <c r="A89" s="1">
        <v>45430</v>
      </c>
      <c r="B89" t="s">
        <v>71</v>
      </c>
      <c r="C89" s="2">
        <v>-39.85</v>
      </c>
      <c r="D89" s="2">
        <v>37153.83</v>
      </c>
      <c r="E89" t="s">
        <v>30</v>
      </c>
      <c r="F89" t="s">
        <v>78</v>
      </c>
    </row>
    <row r="90" spans="1:6">
      <c r="A90" s="1">
        <v>45432</v>
      </c>
      <c r="B90" t="s">
        <v>7</v>
      </c>
      <c r="C90" s="2">
        <v>-2847.98</v>
      </c>
      <c r="D90" s="2">
        <v>34305.85</v>
      </c>
      <c r="E90" t="s">
        <v>30</v>
      </c>
      <c r="F90" t="s">
        <v>81</v>
      </c>
    </row>
    <row r="91" spans="1:6">
      <c r="A91" s="1">
        <v>45432</v>
      </c>
      <c r="B91" t="s">
        <v>63</v>
      </c>
      <c r="C91" s="2">
        <v>-950</v>
      </c>
      <c r="D91" s="2">
        <v>33355.85</v>
      </c>
      <c r="E91" t="s">
        <v>30</v>
      </c>
      <c r="F91" t="s">
        <v>77</v>
      </c>
    </row>
    <row r="92" spans="1:6">
      <c r="A92" s="1">
        <v>45437</v>
      </c>
      <c r="B92" t="s">
        <v>64</v>
      </c>
      <c r="C92" s="2">
        <v>-650</v>
      </c>
      <c r="D92" s="2">
        <v>32705.85</v>
      </c>
      <c r="E92" t="s">
        <v>30</v>
      </c>
      <c r="F92" t="s">
        <v>77</v>
      </c>
    </row>
    <row r="93" spans="1:6">
      <c r="A93" s="1">
        <v>45440</v>
      </c>
      <c r="B93" t="s">
        <v>65</v>
      </c>
      <c r="C93" s="2">
        <v>-200</v>
      </c>
      <c r="D93" s="2">
        <v>32505.85</v>
      </c>
      <c r="E93" t="s">
        <v>30</v>
      </c>
      <c r="F93" t="s">
        <v>78</v>
      </c>
    </row>
    <row r="94" spans="1:6">
      <c r="A94" s="1">
        <v>45440</v>
      </c>
      <c r="B94" t="s">
        <v>69</v>
      </c>
      <c r="C94" s="2">
        <v>-45.9</v>
      </c>
      <c r="D94" s="2">
        <v>32459.95</v>
      </c>
      <c r="E94" t="s">
        <v>30</v>
      </c>
      <c r="F94" t="s">
        <v>78</v>
      </c>
    </row>
    <row r="95" spans="1:6">
      <c r="A95" s="1">
        <v>45441</v>
      </c>
      <c r="B95" t="s">
        <v>60</v>
      </c>
      <c r="C95" s="2">
        <v>10900</v>
      </c>
      <c r="D95" s="2">
        <v>43359.95</v>
      </c>
      <c r="E95" t="s">
        <v>30</v>
      </c>
      <c r="F95" t="s">
        <v>79</v>
      </c>
    </row>
    <row r="96" spans="1:6">
      <c r="A96" s="1">
        <v>45442</v>
      </c>
      <c r="B96" t="s">
        <v>66</v>
      </c>
      <c r="C96" s="2">
        <v>-1000</v>
      </c>
      <c r="D96" s="2">
        <v>42359.95</v>
      </c>
      <c r="E96" t="s">
        <v>30</v>
      </c>
      <c r="F96" t="s">
        <v>78</v>
      </c>
    </row>
    <row r="97" spans="1:6">
      <c r="A97" s="1">
        <v>45446</v>
      </c>
      <c r="B97" t="s">
        <v>55</v>
      </c>
      <c r="C97" s="2">
        <v>-2000</v>
      </c>
      <c r="D97" s="2">
        <v>40359.949999999997</v>
      </c>
      <c r="E97" t="s">
        <v>31</v>
      </c>
      <c r="F97" t="s">
        <v>77</v>
      </c>
    </row>
    <row r="98" spans="1:6">
      <c r="A98" s="1">
        <v>45448</v>
      </c>
      <c r="B98" t="s">
        <v>56</v>
      </c>
      <c r="C98" s="2">
        <v>-165</v>
      </c>
      <c r="D98" s="2">
        <v>40194.949999999997</v>
      </c>
      <c r="E98" t="s">
        <v>31</v>
      </c>
      <c r="F98" t="s">
        <v>78</v>
      </c>
    </row>
    <row r="99" spans="1:6">
      <c r="A99" s="1">
        <v>45448</v>
      </c>
      <c r="B99" t="s">
        <v>57</v>
      </c>
      <c r="C99" s="2">
        <v>-100</v>
      </c>
      <c r="D99" s="2">
        <v>40094.949999999997</v>
      </c>
      <c r="E99" t="s">
        <v>31</v>
      </c>
      <c r="F99" t="s">
        <v>78</v>
      </c>
    </row>
    <row r="100" spans="1:6">
      <c r="A100" s="1">
        <v>45451</v>
      </c>
      <c r="B100" t="s">
        <v>58</v>
      </c>
      <c r="C100" s="2">
        <v>-1050</v>
      </c>
      <c r="D100" s="2">
        <v>39044.949999999997</v>
      </c>
      <c r="E100" t="s">
        <v>31</v>
      </c>
      <c r="F100" t="s">
        <v>77</v>
      </c>
    </row>
    <row r="101" spans="1:6">
      <c r="A101" s="1">
        <v>45453</v>
      </c>
      <c r="B101" t="s">
        <v>60</v>
      </c>
      <c r="C101" s="2">
        <v>11050</v>
      </c>
      <c r="D101" s="2">
        <v>50094.95</v>
      </c>
      <c r="E101" t="s">
        <v>31</v>
      </c>
      <c r="F101" t="s">
        <v>79</v>
      </c>
    </row>
    <row r="102" spans="1:6">
      <c r="A102" s="1">
        <v>45455</v>
      </c>
      <c r="B102" t="s">
        <v>61</v>
      </c>
      <c r="C102" s="2">
        <v>-180</v>
      </c>
      <c r="D102" s="2">
        <v>49914.95</v>
      </c>
      <c r="E102" t="s">
        <v>31</v>
      </c>
      <c r="F102" t="s">
        <v>77</v>
      </c>
    </row>
    <row r="103" spans="1:6">
      <c r="A103" s="1">
        <v>45455</v>
      </c>
      <c r="B103" t="s">
        <v>62</v>
      </c>
      <c r="C103" s="2">
        <v>-99.9</v>
      </c>
      <c r="D103" s="2">
        <v>49815.05</v>
      </c>
      <c r="E103" t="s">
        <v>31</v>
      </c>
      <c r="F103" t="s">
        <v>78</v>
      </c>
    </row>
    <row r="104" spans="1:6">
      <c r="A104" s="1">
        <v>45455</v>
      </c>
      <c r="B104" t="s">
        <v>69</v>
      </c>
      <c r="C104" s="2">
        <v>-63.25</v>
      </c>
      <c r="D104" s="2">
        <v>49751.8</v>
      </c>
      <c r="E104" t="s">
        <v>31</v>
      </c>
      <c r="F104" t="s">
        <v>78</v>
      </c>
    </row>
    <row r="105" spans="1:6">
      <c r="A105" s="1">
        <v>45458</v>
      </c>
      <c r="B105" t="s">
        <v>4</v>
      </c>
      <c r="C105" s="2">
        <v>-2624.82</v>
      </c>
      <c r="D105" s="2">
        <v>47126.98</v>
      </c>
      <c r="E105" t="s">
        <v>31</v>
      </c>
      <c r="F105" t="s">
        <v>80</v>
      </c>
    </row>
    <row r="106" spans="1:6">
      <c r="A106" s="1">
        <v>45458</v>
      </c>
      <c r="B106" t="s">
        <v>5</v>
      </c>
      <c r="C106" s="2">
        <v>-3287.88</v>
      </c>
      <c r="D106" s="2">
        <v>43839.1</v>
      </c>
      <c r="E106" t="s">
        <v>31</v>
      </c>
      <c r="F106" t="s">
        <v>80</v>
      </c>
    </row>
    <row r="107" spans="1:6">
      <c r="A107" s="1">
        <v>45458</v>
      </c>
      <c r="B107" t="s">
        <v>6</v>
      </c>
      <c r="C107" s="2">
        <v>-3427.64</v>
      </c>
      <c r="D107" s="2">
        <v>40411.46</v>
      </c>
      <c r="E107" t="s">
        <v>31</v>
      </c>
      <c r="F107" t="s">
        <v>80</v>
      </c>
    </row>
    <row r="108" spans="1:6">
      <c r="A108" s="1">
        <v>45463</v>
      </c>
      <c r="B108" t="s">
        <v>7</v>
      </c>
      <c r="C108" s="2">
        <v>-2847.98</v>
      </c>
      <c r="D108" s="2">
        <v>37563.480000000003</v>
      </c>
      <c r="E108" t="s">
        <v>31</v>
      </c>
      <c r="F108" t="s">
        <v>81</v>
      </c>
    </row>
    <row r="109" spans="1:6">
      <c r="A109" s="1">
        <v>45463</v>
      </c>
      <c r="B109" t="s">
        <v>63</v>
      </c>
      <c r="C109" s="2">
        <v>-1000</v>
      </c>
      <c r="D109" s="2">
        <v>36563.480000000003</v>
      </c>
      <c r="E109" t="s">
        <v>31</v>
      </c>
      <c r="F109" t="s">
        <v>77</v>
      </c>
    </row>
    <row r="110" spans="1:6">
      <c r="A110" s="1">
        <v>45468</v>
      </c>
      <c r="B110" t="s">
        <v>64</v>
      </c>
      <c r="C110" s="2">
        <v>-500</v>
      </c>
      <c r="D110" s="2">
        <v>36063.480000000003</v>
      </c>
      <c r="E110" t="s">
        <v>31</v>
      </c>
      <c r="F110" t="s">
        <v>77</v>
      </c>
    </row>
    <row r="111" spans="1:6">
      <c r="A111" s="1">
        <v>45471</v>
      </c>
      <c r="B111" t="s">
        <v>65</v>
      </c>
      <c r="C111" s="2">
        <v>-200</v>
      </c>
      <c r="D111" s="2">
        <v>35863.480000000003</v>
      </c>
      <c r="E111" t="s">
        <v>31</v>
      </c>
      <c r="F111" t="s">
        <v>78</v>
      </c>
    </row>
    <row r="112" spans="1:6">
      <c r="A112" s="1">
        <v>45471</v>
      </c>
      <c r="B112" t="s">
        <v>70</v>
      </c>
      <c r="C112" s="2">
        <v>-45</v>
      </c>
      <c r="D112" s="2">
        <v>35818.480000000003</v>
      </c>
      <c r="E112" t="s">
        <v>31</v>
      </c>
      <c r="F112" t="s">
        <v>78</v>
      </c>
    </row>
    <row r="113" spans="1:6">
      <c r="A113" s="1">
        <v>45471</v>
      </c>
      <c r="B113" t="s">
        <v>73</v>
      </c>
      <c r="C113" s="2">
        <v>-49.9</v>
      </c>
      <c r="D113" s="2">
        <v>35768.58</v>
      </c>
      <c r="E113" t="s">
        <v>31</v>
      </c>
      <c r="F113" t="s">
        <v>78</v>
      </c>
    </row>
    <row r="114" spans="1:6">
      <c r="A114" s="1">
        <v>45472</v>
      </c>
      <c r="B114" t="s">
        <v>74</v>
      </c>
      <c r="C114" s="2">
        <v>-450</v>
      </c>
      <c r="D114" s="2">
        <v>35318.58</v>
      </c>
      <c r="E114" t="s">
        <v>31</v>
      </c>
      <c r="F114" t="s">
        <v>78</v>
      </c>
    </row>
    <row r="115" spans="1:6">
      <c r="A115" s="1">
        <v>45473</v>
      </c>
      <c r="B115" t="s">
        <v>60</v>
      </c>
      <c r="C115" s="2">
        <v>11050</v>
      </c>
      <c r="D115" s="2">
        <v>46368.58</v>
      </c>
      <c r="E115" t="s">
        <v>31</v>
      </c>
      <c r="F115" t="s">
        <v>79</v>
      </c>
    </row>
    <row r="116" spans="1:6">
      <c r="A116" s="1">
        <v>45473</v>
      </c>
      <c r="B116" t="s">
        <v>66</v>
      </c>
      <c r="C116" s="2">
        <v>-1000</v>
      </c>
      <c r="D116" s="2">
        <v>45368.58</v>
      </c>
      <c r="E116" t="s">
        <v>31</v>
      </c>
      <c r="F116" t="s">
        <v>78</v>
      </c>
    </row>
    <row r="117" spans="1:6">
      <c r="A117" s="1">
        <v>45476</v>
      </c>
      <c r="B117" t="s">
        <v>55</v>
      </c>
      <c r="C117" s="2">
        <v>-2000</v>
      </c>
      <c r="D117" s="2">
        <v>43368.58</v>
      </c>
      <c r="E117" t="s">
        <v>32</v>
      </c>
      <c r="F117" t="s">
        <v>77</v>
      </c>
    </row>
    <row r="118" spans="1:6">
      <c r="A118" s="1">
        <v>45478</v>
      </c>
      <c r="B118" t="s">
        <v>56</v>
      </c>
      <c r="C118" s="2">
        <v>-175</v>
      </c>
      <c r="D118" s="2">
        <v>43193.58</v>
      </c>
      <c r="E118" t="s">
        <v>32</v>
      </c>
      <c r="F118" t="s">
        <v>78</v>
      </c>
    </row>
    <row r="119" spans="1:6">
      <c r="A119" s="1">
        <v>45478</v>
      </c>
      <c r="B119" t="s">
        <v>57</v>
      </c>
      <c r="C119" s="2">
        <v>-110</v>
      </c>
      <c r="D119" s="2">
        <v>43083.58</v>
      </c>
      <c r="E119" t="s">
        <v>32</v>
      </c>
      <c r="F119" t="s">
        <v>78</v>
      </c>
    </row>
    <row r="120" spans="1:6">
      <c r="A120" s="1">
        <v>45481</v>
      </c>
      <c r="B120" t="s">
        <v>58</v>
      </c>
      <c r="C120" s="2">
        <v>-1350</v>
      </c>
      <c r="D120" s="2">
        <v>41733.58</v>
      </c>
      <c r="E120" t="s">
        <v>32</v>
      </c>
      <c r="F120" t="s">
        <v>77</v>
      </c>
    </row>
    <row r="121" spans="1:6">
      <c r="A121" s="1">
        <v>45483</v>
      </c>
      <c r="B121" t="s">
        <v>60</v>
      </c>
      <c r="C121" s="2">
        <v>11250</v>
      </c>
      <c r="D121" s="2">
        <v>52983.58</v>
      </c>
      <c r="E121" t="s">
        <v>32</v>
      </c>
      <c r="F121" t="s">
        <v>79</v>
      </c>
    </row>
    <row r="122" spans="1:6">
      <c r="A122" s="1">
        <v>45485</v>
      </c>
      <c r="B122" t="s">
        <v>61</v>
      </c>
      <c r="C122" s="2">
        <v>-180</v>
      </c>
      <c r="D122" s="2">
        <v>52803.58</v>
      </c>
      <c r="E122" t="s">
        <v>32</v>
      </c>
      <c r="F122" t="s">
        <v>77</v>
      </c>
    </row>
    <row r="123" spans="1:6">
      <c r="A123" s="1">
        <v>45485</v>
      </c>
      <c r="B123" t="s">
        <v>62</v>
      </c>
      <c r="C123" s="2">
        <v>-99.9</v>
      </c>
      <c r="D123" s="2">
        <v>52703.68</v>
      </c>
      <c r="E123" t="s">
        <v>32</v>
      </c>
      <c r="F123" t="s">
        <v>78</v>
      </c>
    </row>
    <row r="124" spans="1:6">
      <c r="A124" s="1">
        <v>45488</v>
      </c>
      <c r="B124" t="s">
        <v>4</v>
      </c>
      <c r="C124" s="2">
        <v>-2624.82</v>
      </c>
      <c r="D124" s="2">
        <v>50078.86</v>
      </c>
      <c r="E124" t="s">
        <v>32</v>
      </c>
      <c r="F124" t="s">
        <v>80</v>
      </c>
    </row>
    <row r="125" spans="1:6">
      <c r="A125" s="1">
        <v>45488</v>
      </c>
      <c r="B125" t="s">
        <v>5</v>
      </c>
      <c r="C125" s="2">
        <v>-3287.88</v>
      </c>
      <c r="D125" s="2">
        <v>46790.98</v>
      </c>
      <c r="E125" t="s">
        <v>32</v>
      </c>
      <c r="F125" t="s">
        <v>80</v>
      </c>
    </row>
    <row r="126" spans="1:6">
      <c r="A126" s="1">
        <v>45488</v>
      </c>
      <c r="B126" t="s">
        <v>6</v>
      </c>
      <c r="C126" s="2">
        <v>-3427.64</v>
      </c>
      <c r="D126" s="2">
        <v>43363.34</v>
      </c>
      <c r="E126" t="s">
        <v>32</v>
      </c>
      <c r="F126" t="s">
        <v>80</v>
      </c>
    </row>
    <row r="127" spans="1:6">
      <c r="A127" s="1">
        <v>45493</v>
      </c>
      <c r="B127" t="s">
        <v>7</v>
      </c>
      <c r="C127" s="2">
        <v>-2847.98</v>
      </c>
      <c r="D127" s="2">
        <v>40515.360000000001</v>
      </c>
      <c r="E127" t="s">
        <v>32</v>
      </c>
      <c r="F127" t="s">
        <v>81</v>
      </c>
    </row>
    <row r="128" spans="1:6">
      <c r="A128" s="1">
        <v>45493</v>
      </c>
      <c r="B128" t="s">
        <v>63</v>
      </c>
      <c r="C128" s="2">
        <v>-1015</v>
      </c>
      <c r="D128" s="2">
        <v>39500.36</v>
      </c>
      <c r="E128" t="s">
        <v>32</v>
      </c>
      <c r="F128" t="s">
        <v>77</v>
      </c>
    </row>
    <row r="129" spans="1:6">
      <c r="A129" s="1">
        <v>45498</v>
      </c>
      <c r="B129" t="s">
        <v>64</v>
      </c>
      <c r="C129" s="2">
        <v>-850</v>
      </c>
      <c r="D129" s="2">
        <v>38650.36</v>
      </c>
      <c r="E129" t="s">
        <v>32</v>
      </c>
      <c r="F129" t="s">
        <v>77</v>
      </c>
    </row>
    <row r="130" spans="1:6">
      <c r="A130" s="1">
        <v>45501</v>
      </c>
      <c r="B130" t="s">
        <v>65</v>
      </c>
      <c r="C130" s="2">
        <v>-200</v>
      </c>
      <c r="D130" s="2">
        <v>38450.36</v>
      </c>
      <c r="E130" t="s">
        <v>32</v>
      </c>
      <c r="F130" t="s">
        <v>78</v>
      </c>
    </row>
    <row r="131" spans="1:6">
      <c r="A131" s="1">
        <v>45501</v>
      </c>
      <c r="B131" t="s">
        <v>75</v>
      </c>
      <c r="C131" s="2">
        <v>-200</v>
      </c>
      <c r="D131" s="2">
        <v>38250.36</v>
      </c>
      <c r="E131" t="s">
        <v>32</v>
      </c>
      <c r="F131" t="s">
        <v>78</v>
      </c>
    </row>
    <row r="132" spans="1:6">
      <c r="A132" s="1">
        <v>45503</v>
      </c>
      <c r="B132" t="s">
        <v>60</v>
      </c>
      <c r="C132" s="2">
        <v>11250</v>
      </c>
      <c r="D132" s="2">
        <v>49500.36</v>
      </c>
      <c r="E132" t="s">
        <v>32</v>
      </c>
      <c r="F132" t="s">
        <v>79</v>
      </c>
    </row>
    <row r="133" spans="1:6">
      <c r="A133" s="1">
        <v>45503</v>
      </c>
      <c r="B133" t="s">
        <v>66</v>
      </c>
      <c r="C133" s="2">
        <v>-1000</v>
      </c>
      <c r="D133" s="2">
        <v>48500.36</v>
      </c>
      <c r="E133" t="s">
        <v>32</v>
      </c>
      <c r="F133" t="s">
        <v>78</v>
      </c>
    </row>
    <row r="134" spans="1:6">
      <c r="A134" s="1">
        <v>45507</v>
      </c>
      <c r="B134" t="s">
        <v>55</v>
      </c>
      <c r="C134" s="2">
        <v>-2000</v>
      </c>
      <c r="D134" s="2">
        <v>46500.36</v>
      </c>
      <c r="E134" t="s">
        <v>33</v>
      </c>
      <c r="F134" t="s">
        <v>77</v>
      </c>
    </row>
    <row r="135" spans="1:6">
      <c r="A135" s="1">
        <v>45512</v>
      </c>
      <c r="B135" t="s">
        <v>58</v>
      </c>
      <c r="C135" s="2">
        <v>-1300</v>
      </c>
      <c r="D135" s="2">
        <v>45200.36</v>
      </c>
      <c r="E135" t="s">
        <v>33</v>
      </c>
      <c r="F135" t="s">
        <v>77</v>
      </c>
    </row>
    <row r="136" spans="1:6">
      <c r="A136" s="1">
        <v>45514</v>
      </c>
      <c r="B136" t="s">
        <v>60</v>
      </c>
      <c r="C136" s="2">
        <v>9800</v>
      </c>
      <c r="D136" s="2">
        <v>55000.36</v>
      </c>
      <c r="E136" t="s">
        <v>33</v>
      </c>
      <c r="F136" t="s">
        <v>79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5C65-852A-4EC9-8F60-B4E49C3EC204}">
  <sheetPr>
    <tabColor rgb="FFFF0000"/>
  </sheetPr>
  <dimension ref="A1:L13"/>
  <sheetViews>
    <sheetView topLeftCell="E1" zoomScale="130" zoomScaleNormal="130" workbookViewId="0">
      <selection activeCell="I3" sqref="I3"/>
    </sheetView>
  </sheetViews>
  <sheetFormatPr defaultRowHeight="15"/>
  <cols>
    <col min="1" max="5" width="22.42578125" customWidth="1"/>
    <col min="7" max="7" width="9.140625" customWidth="1"/>
    <col min="8" max="8" width="14.85546875" customWidth="1"/>
    <col min="9" max="10" width="17.140625" customWidth="1"/>
    <col min="11" max="11" width="12.7109375" customWidth="1"/>
    <col min="12" max="12" width="27.140625" customWidth="1"/>
  </cols>
  <sheetData>
    <row r="1" spans="1:12" ht="19.5" thickBot="1">
      <c r="A1" s="39" t="s">
        <v>24</v>
      </c>
      <c r="B1" s="40"/>
      <c r="C1" s="40"/>
      <c r="D1" s="40"/>
      <c r="E1" s="41"/>
      <c r="H1" t="s">
        <v>20</v>
      </c>
      <c r="I1" t="s">
        <v>39</v>
      </c>
      <c r="J1" t="s">
        <v>77</v>
      </c>
      <c r="K1" t="s">
        <v>38</v>
      </c>
      <c r="L1" t="s">
        <v>54</v>
      </c>
    </row>
    <row r="2" spans="1:12" s="3" customFormat="1" ht="15.75">
      <c r="A2" s="11" t="s">
        <v>8</v>
      </c>
      <c r="B2" s="12" t="s">
        <v>20</v>
      </c>
      <c r="C2" s="12" t="s">
        <v>21</v>
      </c>
      <c r="D2" s="12" t="s">
        <v>22</v>
      </c>
      <c r="E2" s="13" t="s">
        <v>23</v>
      </c>
      <c r="G2" t="s">
        <v>26</v>
      </c>
      <c r="H2" s="2">
        <f>SUMIFS(Extrato[Valor (R$)],Extrato[Descrição],"PAG TRANSF*",Extrato[Nome do Mês],G2)*-1</f>
        <v>9340.34</v>
      </c>
      <c r="I2" s="2">
        <f>SUMIFS(Extrato[Valor (R$)],Extrato[Descrição],"*CONTABILIDADE*",Extrato[Nome do Mês],G2)*-1</f>
        <v>2847.98</v>
      </c>
      <c r="J2" s="2">
        <f>SUMIFS(Extrato[Valor (R$)],Extrato[Categoria de Gasto],$J$1,Extrato[Nome do Mês],G2)*-1</f>
        <v>4610</v>
      </c>
      <c r="K2">
        <v>0</v>
      </c>
      <c r="L2" s="2">
        <f>IFERROR(GETPIVOTDATA("Total  ",'Dinâmica Produt por Func'!$A$3,"Mês",LEFT(G2,3)),0)</f>
        <v>20327.510000000002</v>
      </c>
    </row>
    <row r="3" spans="1:12">
      <c r="A3" s="5" t="s">
        <v>17</v>
      </c>
      <c r="B3" s="4">
        <f>TB_Salarios_Func!D2</f>
        <v>2624.82</v>
      </c>
      <c r="C3" s="4">
        <f>SUM(TB_Salarios_Func!E2:F2)</f>
        <v>646.24</v>
      </c>
      <c r="D3" s="4">
        <f>SUM(TB_Salarios_Func!G2:H2)</f>
        <v>448.77777777777783</v>
      </c>
      <c r="E3" s="6">
        <f>SUM(C3:D3)</f>
        <v>1095.0177777777778</v>
      </c>
      <c r="G3" t="s">
        <v>27</v>
      </c>
      <c r="H3" s="2">
        <f>SUMIFS(Extrato[Valor (R$)],Extrato[Descrição],"PAG TRANSF*",Extrato[Nome do Mês],G3)*-1</f>
        <v>9340.34</v>
      </c>
      <c r="I3" s="2">
        <f>SUMIFS(Extrato[Valor (R$)],Extrato[Descrição],"*CONTABILIDADE*",Extrato[Nome do Mês],G3)*-1</f>
        <v>2847.98</v>
      </c>
      <c r="J3" s="2">
        <f>SUMIFS(Extrato[Valor (R$)],Extrato[Categoria de Gasto],$J$1,Extrato[Nome do Mês],G3)*-1</f>
        <v>4680</v>
      </c>
      <c r="K3">
        <v>0</v>
      </c>
      <c r="L3" s="2">
        <f>IFERROR(GETPIVOTDATA("Total  ",'Dinâmica Produt por Func'!$A$3,"Mês",LEFT(G3,3)),0)</f>
        <v>20671</v>
      </c>
    </row>
    <row r="4" spans="1:12">
      <c r="A4" s="5" t="s">
        <v>18</v>
      </c>
      <c r="B4" s="4">
        <f>TB_Salarios_Func!D3</f>
        <v>3287.88</v>
      </c>
      <c r="C4" s="4">
        <f>SUM(TB_Salarios_Func!E3:F3)</f>
        <v>831.30320000000006</v>
      </c>
      <c r="D4" s="4">
        <f>SUM(TB_Salarios_Func!G3:H3)</f>
        <v>577.29388888888889</v>
      </c>
      <c r="E4" s="6">
        <f t="shared" ref="E4:E5" si="0">SUM(C4:D4)</f>
        <v>1408.5970888888889</v>
      </c>
      <c r="G4" t="s">
        <v>28</v>
      </c>
      <c r="H4" s="2">
        <f>SUMIFS(Extrato[Valor (R$)],Extrato[Descrição],"PAG TRANSF*",Extrato[Nome do Mês],G4)*-1</f>
        <v>9340.34</v>
      </c>
      <c r="I4" s="2">
        <f>SUMIFS(Extrato[Valor (R$)],Extrato[Descrição],"*CONTABILIDADE*",Extrato[Nome do Mês],G4)*-1</f>
        <v>2847.98</v>
      </c>
      <c r="J4" s="2">
        <f>SUMIFS(Extrato[Valor (R$)],Extrato[Categoria de Gasto],$J$1,Extrato[Nome do Mês],G4)*-1</f>
        <v>4710</v>
      </c>
      <c r="K4">
        <v>0</v>
      </c>
      <c r="L4" s="2">
        <f>IFERROR(GETPIVOTDATA("Total  ",'Dinâmica Produt por Func'!$A$3,"Mês",LEFT(G4,3)),0)</f>
        <v>20985.010000000002</v>
      </c>
    </row>
    <row r="5" spans="1:12" ht="15.75" thickBot="1">
      <c r="A5" s="7" t="s">
        <v>19</v>
      </c>
      <c r="B5" s="8">
        <f>TB_Salarios_Func!D4</f>
        <v>3427.64</v>
      </c>
      <c r="C5" s="8">
        <f>SUM(TB_Salarios_Func!E4:F4)</f>
        <v>870.43600000000004</v>
      </c>
      <c r="D5" s="8">
        <f>SUM(TB_Salarios_Func!G4:H4)</f>
        <v>604.46944444444443</v>
      </c>
      <c r="E5" s="9">
        <f t="shared" si="0"/>
        <v>1474.9054444444446</v>
      </c>
      <c r="G5" t="s">
        <v>29</v>
      </c>
      <c r="H5" s="2">
        <f>SUMIFS(Extrato[Valor (R$)],Extrato[Descrição],"PAG TRANSF*",Extrato[Nome do Mês],G5)*-1</f>
        <v>9340.34</v>
      </c>
      <c r="I5" s="2">
        <f>SUMIFS(Extrato[Valor (R$)],Extrato[Descrição],"*CONTABILIDADE*",Extrato[Nome do Mês],G5)*-1</f>
        <v>2847.98</v>
      </c>
      <c r="J5" s="2">
        <f>SUMIFS(Extrato[Valor (R$)],Extrato[Categoria de Gasto],$J$1,Extrato[Nome do Mês],G5)*-1</f>
        <v>4410</v>
      </c>
      <c r="K5">
        <v>0</v>
      </c>
      <c r="L5" s="2">
        <f>IFERROR(GETPIVOTDATA("Total  ",'Dinâmica Produt por Func'!$A$3,"Mês",LEFT(G5,3)),0)</f>
        <v>21150</v>
      </c>
    </row>
    <row r="6" spans="1:12" ht="15.75" thickBot="1">
      <c r="A6" s="10" t="s">
        <v>16</v>
      </c>
      <c r="B6" s="14">
        <f>SUM(B3:B5)</f>
        <v>9340.34</v>
      </c>
      <c r="C6" s="14">
        <f t="shared" ref="C6:E6" si="1">SUM(C3:C5)</f>
        <v>2347.9792000000002</v>
      </c>
      <c r="D6" s="14">
        <f t="shared" si="1"/>
        <v>1630.5411111111111</v>
      </c>
      <c r="E6" s="14">
        <f t="shared" si="1"/>
        <v>3978.5203111111114</v>
      </c>
      <c r="G6" t="s">
        <v>30</v>
      </c>
      <c r="H6" s="2">
        <f>SUMIFS(Extrato[Valor (R$)],Extrato[Descrição],"PAG TRANSF*",Extrato[Nome do Mês],G6)*-1</f>
        <v>9340.34</v>
      </c>
      <c r="I6" s="2">
        <f>SUMIFS(Extrato[Valor (R$)],Extrato[Descrição],"*CONTABILIDADE*",Extrato[Nome do Mês],G6)*-1</f>
        <v>2847.98</v>
      </c>
      <c r="J6" s="2">
        <f>SUMIFS(Extrato[Valor (R$)],Extrato[Categoria de Gasto],$J$1,Extrato[Nome do Mês],G6)*-1</f>
        <v>4630</v>
      </c>
      <c r="K6">
        <v>0</v>
      </c>
      <c r="L6" s="2">
        <f>IFERROR(GETPIVOTDATA("Total  ",'Dinâmica Produt por Func'!$A$3,"Mês",LEFT(G6,3)),0)</f>
        <v>21800</v>
      </c>
    </row>
    <row r="7" spans="1:12">
      <c r="G7" t="s">
        <v>31</v>
      </c>
      <c r="H7" s="2">
        <f>SUMIFS(Extrato[Valor (R$)],Extrato[Descrição],"PAG TRANSF*",Extrato[Nome do Mês],G7)*-1</f>
        <v>9340.34</v>
      </c>
      <c r="I7" s="2">
        <f>SUMIFS(Extrato[Valor (R$)],Extrato[Descrição],"*CONTABILIDADE*",Extrato[Nome do Mês],G7)*-1</f>
        <v>2847.98</v>
      </c>
      <c r="J7" s="2">
        <f>SUMIFS(Extrato[Valor (R$)],Extrato[Categoria de Gasto],$J$1,Extrato[Nome do Mês],G7)*-1</f>
        <v>4730</v>
      </c>
      <c r="K7">
        <v>0</v>
      </c>
      <c r="L7" s="2">
        <f>IFERROR(GETPIVOTDATA("Total  ",'Dinâmica Produt por Func'!$A$3,"Mês",LEFT(G7,3)),0)</f>
        <v>22100</v>
      </c>
    </row>
    <row r="8" spans="1:12">
      <c r="G8" t="s">
        <v>32</v>
      </c>
      <c r="H8" s="2">
        <f>SUMIFS(Extrato[Valor (R$)],Extrato[Descrição],"PAG TRANSF*",Extrato[Nome do Mês],G8)*-1</f>
        <v>9340.34</v>
      </c>
      <c r="I8" s="2">
        <f>SUMIFS(Extrato[Valor (R$)],Extrato[Descrição],"*CONTABILIDADE*",Extrato[Nome do Mês],G8)*-1</f>
        <v>2847.98</v>
      </c>
      <c r="J8" s="2">
        <f>SUMIFS(Extrato[Valor (R$)],Extrato[Categoria de Gasto],$J$1,Extrato[Nome do Mês],G8)*-1</f>
        <v>5395</v>
      </c>
      <c r="K8">
        <v>0</v>
      </c>
      <c r="L8" s="2">
        <f>IFERROR(GETPIVOTDATA("Total  ",'Dinâmica Produt por Func'!$A$3,"Mês",LEFT(G8,3)),0)</f>
        <v>22500</v>
      </c>
    </row>
    <row r="9" spans="1:12">
      <c r="G9" t="s">
        <v>33</v>
      </c>
      <c r="H9" s="2">
        <f>SUMIFS(Extrato[Valor (R$)],Extrato[Descrição],"PAG TRANSF*",Extrato[Nome do Mês],G9)*-1</f>
        <v>0</v>
      </c>
      <c r="I9" s="2">
        <f>SUMIFS(Extrato[Valor (R$)],Extrato[Descrição],"*CONTABILIDADE*",Extrato[Nome do Mês],G9)*-1</f>
        <v>0</v>
      </c>
      <c r="J9" s="2">
        <f>SUMIFS(Extrato[Valor (R$)],Extrato[Categoria de Gasto],$J$1,Extrato[Nome do Mês],G9)*-1</f>
        <v>3300</v>
      </c>
      <c r="K9">
        <v>0</v>
      </c>
      <c r="L9" s="2">
        <f>IFERROR(GETPIVOTDATA("Total  ",'Dinâmica Produt por Func'!$A$3,"Mês",LEFT(G9,3)),0)</f>
        <v>0</v>
      </c>
    </row>
    <row r="10" spans="1:12">
      <c r="G10" t="s">
        <v>34</v>
      </c>
      <c r="H10" s="2">
        <f>SUMIFS(Extrato[Valor (R$)],Extrato[Descrição],"PAG TRANSF*",Extrato[Nome do Mês],G10)*-1</f>
        <v>0</v>
      </c>
      <c r="I10" s="2">
        <f>SUMIFS(Extrato[Valor (R$)],Extrato[Descrição],"*CONTABILIDADE*",Extrato[Nome do Mês],G10)*-1</f>
        <v>0</v>
      </c>
      <c r="J10" s="2">
        <f>SUMIFS(Extrato[Valor (R$)],Extrato[Categoria de Gasto],$J$1,Extrato[Nome do Mês],G10)*-1</f>
        <v>0</v>
      </c>
      <c r="K10">
        <v>0</v>
      </c>
      <c r="L10" s="2">
        <f>IFERROR(GETPIVOTDATA("Total  ",'Dinâmica Produt por Func'!$A$3,"Mês",LEFT(G10,3)),0)</f>
        <v>0</v>
      </c>
    </row>
    <row r="11" spans="1:12">
      <c r="G11" t="s">
        <v>35</v>
      </c>
      <c r="H11" s="2">
        <f>SUMIFS(Extrato[Valor (R$)],Extrato[Descrição],"PAG TRANSF*",Extrato[Nome do Mês],G11)*-1</f>
        <v>0</v>
      </c>
      <c r="I11" s="2">
        <f>SUMIFS(Extrato[Valor (R$)],Extrato[Descrição],"*CONTABILIDADE*",Extrato[Nome do Mês],G11)*-1</f>
        <v>0</v>
      </c>
      <c r="J11" s="2">
        <f>SUMIFS(Extrato[Valor (R$)],Extrato[Categoria de Gasto],$J$1,Extrato[Nome do Mês],G11)*-1</f>
        <v>0</v>
      </c>
      <c r="K11">
        <v>0</v>
      </c>
      <c r="L11" s="2">
        <f>IFERROR(GETPIVOTDATA("Total  ",'Dinâmica Produt por Func'!$A$3,"Mês",LEFT(G11,3)),0)</f>
        <v>0</v>
      </c>
    </row>
    <row r="12" spans="1:12">
      <c r="G12" t="s">
        <v>36</v>
      </c>
      <c r="H12" s="2">
        <f>SUMIFS(Extrato[Valor (R$)],Extrato[Descrição],"PAG TRANSF*",Extrato[Nome do Mês],G12)*-1</f>
        <v>0</v>
      </c>
      <c r="I12" s="2">
        <f>SUMIFS(Extrato[Valor (R$)],Extrato[Descrição],"*CONTABILIDADE*",Extrato[Nome do Mês],G12)*-1</f>
        <v>0</v>
      </c>
      <c r="J12" s="2">
        <f>SUMIFS(Extrato[Valor (R$)],Extrato[Categoria de Gasto],$J$1,Extrato[Nome do Mês],G12)*-1</f>
        <v>0</v>
      </c>
      <c r="K12" s="2">
        <f>SUM(TB_Salarios_Func[[13o Salário]:[Férias]])*12/2</f>
        <v>9783.246666666666</v>
      </c>
      <c r="L12" s="2">
        <f>IFERROR(GETPIVOTDATA("Total  ",'Dinâmica Produt por Func'!$A$3,"Mês",LEFT(G12,3)),0)</f>
        <v>0</v>
      </c>
    </row>
    <row r="13" spans="1:12">
      <c r="G13" t="s">
        <v>37</v>
      </c>
      <c r="H13" s="2">
        <f>SUMIFS(Extrato[Valor (R$)],Extrato[Descrição],"PAG TRANSF*",Extrato[Nome do Mês],G13)*-1</f>
        <v>0</v>
      </c>
      <c r="I13" s="2">
        <f>SUMIFS(Extrato[Valor (R$)],Extrato[Descrição],"*CONTABILIDADE*",Extrato[Nome do Mês],G13)*-1</f>
        <v>0</v>
      </c>
      <c r="J13" s="2">
        <f>SUMIFS(Extrato[Valor (R$)],Extrato[Categoria de Gasto],$J$1,Extrato[Nome do Mês],G13)*-1</f>
        <v>0</v>
      </c>
      <c r="K13" s="2">
        <f>SUM(TB_Salarios_Func[[13o Salário]:[Férias]])*12/2</f>
        <v>9783.246666666666</v>
      </c>
      <c r="L13" s="2">
        <f>IFERROR(GETPIVOTDATA("Total  ",'Dinâmica Produt por Func'!$A$3,"Mês",LEFT(G13,3)),0)</f>
        <v>0</v>
      </c>
    </row>
  </sheetData>
  <mergeCells count="1">
    <mergeCell ref="A1:E1"/>
  </mergeCells>
  <phoneticPr fontId="2" type="noConversion"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B6E5-93D2-4C88-A575-7BD0176C1EFA}">
  <dimension ref="A1:D25"/>
  <sheetViews>
    <sheetView zoomScale="140" zoomScaleNormal="140" workbookViewId="0">
      <selection activeCell="C4" sqref="C4"/>
    </sheetView>
  </sheetViews>
  <sheetFormatPr defaultRowHeight="15"/>
  <cols>
    <col min="1" max="1" width="7" bestFit="1" customWidth="1"/>
    <col min="2" max="2" width="13.85546875" bestFit="1" customWidth="1"/>
    <col min="3" max="3" width="17.5703125" bestFit="1" customWidth="1"/>
    <col min="4" max="4" width="12.7109375" bestFit="1" customWidth="1"/>
    <col min="5" max="5" width="21" customWidth="1"/>
    <col min="6" max="6" width="23.5703125" customWidth="1"/>
  </cols>
  <sheetData>
    <row r="1" spans="1:4">
      <c r="A1" t="s">
        <v>40</v>
      </c>
      <c r="B1" t="s">
        <v>8</v>
      </c>
      <c r="C1" t="s">
        <v>41</v>
      </c>
      <c r="D1" t="s">
        <v>42</v>
      </c>
    </row>
    <row r="2" spans="1:4">
      <c r="A2" t="s">
        <v>43</v>
      </c>
      <c r="B2" t="s">
        <v>17</v>
      </c>
      <c r="C2">
        <v>90</v>
      </c>
      <c r="D2" s="2">
        <v>7525.67</v>
      </c>
    </row>
    <row r="3" spans="1:4">
      <c r="A3" t="s">
        <v>43</v>
      </c>
      <c r="B3" t="s">
        <v>18</v>
      </c>
      <c r="C3">
        <v>120</v>
      </c>
      <c r="D3" s="2">
        <v>6025.67</v>
      </c>
    </row>
    <row r="4" spans="1:4">
      <c r="A4" t="s">
        <v>43</v>
      </c>
      <c r="B4" t="s">
        <v>19</v>
      </c>
      <c r="C4">
        <v>60</v>
      </c>
      <c r="D4" s="2">
        <v>6776.17</v>
      </c>
    </row>
    <row r="5" spans="1:4">
      <c r="A5" t="s">
        <v>44</v>
      </c>
      <c r="B5" t="s">
        <v>17</v>
      </c>
      <c r="C5">
        <v>95</v>
      </c>
      <c r="D5" s="2">
        <v>6314</v>
      </c>
    </row>
    <row r="6" spans="1:4">
      <c r="A6" t="s">
        <v>44</v>
      </c>
      <c r="B6" t="s">
        <v>18</v>
      </c>
      <c r="C6">
        <v>125</v>
      </c>
      <c r="D6" s="2">
        <v>6845</v>
      </c>
    </row>
    <row r="7" spans="1:4">
      <c r="A7" t="s">
        <v>44</v>
      </c>
      <c r="B7" t="s">
        <v>19</v>
      </c>
      <c r="C7">
        <v>65</v>
      </c>
      <c r="D7" s="2">
        <v>7512</v>
      </c>
    </row>
    <row r="8" spans="1:4">
      <c r="A8" t="s">
        <v>45</v>
      </c>
      <c r="B8" t="s">
        <v>17</v>
      </c>
      <c r="C8">
        <v>100</v>
      </c>
      <c r="D8" s="2">
        <v>6528.34</v>
      </c>
    </row>
    <row r="9" spans="1:4">
      <c r="A9" t="s">
        <v>45</v>
      </c>
      <c r="B9" t="s">
        <v>18</v>
      </c>
      <c r="C9">
        <v>130</v>
      </c>
      <c r="D9" s="2">
        <v>7528.33</v>
      </c>
    </row>
    <row r="10" spans="1:4">
      <c r="A10" t="s">
        <v>45</v>
      </c>
      <c r="B10" t="s">
        <v>19</v>
      </c>
      <c r="C10">
        <v>70</v>
      </c>
      <c r="D10" s="2">
        <v>6928.34</v>
      </c>
    </row>
    <row r="11" spans="1:4">
      <c r="A11" t="s">
        <v>46</v>
      </c>
      <c r="B11" t="s">
        <v>17</v>
      </c>
      <c r="C11">
        <v>135</v>
      </c>
      <c r="D11" s="2">
        <v>7350.01</v>
      </c>
    </row>
    <row r="12" spans="1:4">
      <c r="A12" t="s">
        <v>46</v>
      </c>
      <c r="B12" t="s">
        <v>18</v>
      </c>
      <c r="C12">
        <v>75</v>
      </c>
      <c r="D12" s="2">
        <v>6949.99</v>
      </c>
    </row>
    <row r="13" spans="1:4">
      <c r="A13" t="s">
        <v>46</v>
      </c>
      <c r="B13" t="s">
        <v>19</v>
      </c>
      <c r="C13">
        <v>85</v>
      </c>
      <c r="D13" s="2">
        <v>6850</v>
      </c>
    </row>
    <row r="14" spans="1:4">
      <c r="A14" t="s">
        <v>47</v>
      </c>
      <c r="B14" t="s">
        <v>17</v>
      </c>
      <c r="C14">
        <v>110</v>
      </c>
      <c r="D14" s="2">
        <v>6683.87</v>
      </c>
    </row>
    <row r="15" spans="1:4">
      <c r="A15" t="s">
        <v>47</v>
      </c>
      <c r="B15" t="s">
        <v>18</v>
      </c>
      <c r="C15">
        <v>140</v>
      </c>
      <c r="D15" s="2">
        <v>7280.5</v>
      </c>
    </row>
    <row r="16" spans="1:4">
      <c r="A16" t="s">
        <v>47</v>
      </c>
      <c r="B16" t="s">
        <v>19</v>
      </c>
      <c r="C16">
        <v>110</v>
      </c>
      <c r="D16" s="2">
        <v>7835.63</v>
      </c>
    </row>
    <row r="17" spans="1:4">
      <c r="A17" t="s">
        <v>48</v>
      </c>
      <c r="B17" t="s">
        <v>17</v>
      </c>
      <c r="C17">
        <v>115</v>
      </c>
      <c r="D17" s="2">
        <v>7649.67</v>
      </c>
    </row>
    <row r="18" spans="1:4">
      <c r="A18" t="s">
        <v>48</v>
      </c>
      <c r="B18" t="s">
        <v>18</v>
      </c>
      <c r="C18">
        <v>100</v>
      </c>
      <c r="D18" s="2">
        <v>7239.51</v>
      </c>
    </row>
    <row r="19" spans="1:4">
      <c r="A19" t="s">
        <v>48</v>
      </c>
      <c r="B19" t="s">
        <v>19</v>
      </c>
      <c r="C19">
        <v>144</v>
      </c>
      <c r="D19" s="2">
        <v>7210.82</v>
      </c>
    </row>
    <row r="20" spans="1:4">
      <c r="A20" t="s">
        <v>49</v>
      </c>
      <c r="B20" t="s">
        <v>17</v>
      </c>
      <c r="C20">
        <v>120</v>
      </c>
      <c r="D20" s="2">
        <v>7728.67</v>
      </c>
    </row>
    <row r="21" spans="1:4">
      <c r="A21" t="s">
        <v>49</v>
      </c>
      <c r="B21" t="s">
        <v>18</v>
      </c>
      <c r="C21">
        <v>150</v>
      </c>
      <c r="D21" s="2">
        <v>7042.67</v>
      </c>
    </row>
    <row r="22" spans="1:4">
      <c r="A22" t="s">
        <v>49</v>
      </c>
      <c r="B22" t="s">
        <v>19</v>
      </c>
      <c r="C22">
        <v>90</v>
      </c>
      <c r="D22" s="2">
        <v>7728.66</v>
      </c>
    </row>
    <row r="23" spans="1:4">
      <c r="A23" t="s">
        <v>50</v>
      </c>
      <c r="B23" t="s">
        <v>17</v>
      </c>
      <c r="C23">
        <v>125</v>
      </c>
      <c r="D23" s="2">
        <v>3211.46</v>
      </c>
    </row>
    <row r="24" spans="1:4">
      <c r="A24" t="s">
        <v>50</v>
      </c>
      <c r="B24" t="s">
        <v>18</v>
      </c>
      <c r="C24">
        <v>155</v>
      </c>
      <c r="D24" s="2">
        <v>3250.83</v>
      </c>
    </row>
    <row r="25" spans="1:4">
      <c r="A25" t="s">
        <v>50</v>
      </c>
      <c r="B25" t="s">
        <v>19</v>
      </c>
      <c r="C25">
        <v>95</v>
      </c>
      <c r="D25" s="2">
        <v>3337.71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9E3B9-B61A-413C-BCB7-6F67375F23A1}">
  <dimension ref="A3:B11"/>
  <sheetViews>
    <sheetView zoomScale="150" zoomScaleNormal="150" workbookViewId="0">
      <selection activeCell="C15" sqref="C15"/>
    </sheetView>
  </sheetViews>
  <sheetFormatPr defaultRowHeight="15"/>
  <cols>
    <col min="1" max="1" width="18.42578125" bestFit="1" customWidth="1"/>
    <col min="2" max="2" width="14.5703125" bestFit="1" customWidth="1"/>
  </cols>
  <sheetData>
    <row r="3" spans="1:2">
      <c r="A3" s="15" t="s">
        <v>51</v>
      </c>
      <c r="B3" t="s">
        <v>53</v>
      </c>
    </row>
    <row r="4" spans="1:2">
      <c r="A4" s="16" t="s">
        <v>43</v>
      </c>
      <c r="B4" s="17">
        <v>20327.510000000002</v>
      </c>
    </row>
    <row r="5" spans="1:2">
      <c r="A5" s="16" t="s">
        <v>44</v>
      </c>
      <c r="B5" s="17">
        <v>20671</v>
      </c>
    </row>
    <row r="6" spans="1:2">
      <c r="A6" s="16" t="s">
        <v>45</v>
      </c>
      <c r="B6" s="17">
        <v>20985.010000000002</v>
      </c>
    </row>
    <row r="7" spans="1:2">
      <c r="A7" s="16" t="s">
        <v>46</v>
      </c>
      <c r="B7" s="17">
        <v>21150</v>
      </c>
    </row>
    <row r="8" spans="1:2">
      <c r="A8" s="16" t="s">
        <v>47</v>
      </c>
      <c r="B8" s="17">
        <v>21800</v>
      </c>
    </row>
    <row r="9" spans="1:2">
      <c r="A9" s="16" t="s">
        <v>48</v>
      </c>
      <c r="B9" s="17">
        <v>22100</v>
      </c>
    </row>
    <row r="10" spans="1:2">
      <c r="A10" s="16" t="s">
        <v>49</v>
      </c>
      <c r="B10" s="17">
        <v>22500</v>
      </c>
    </row>
    <row r="11" spans="1:2">
      <c r="A11" s="16" t="s">
        <v>52</v>
      </c>
      <c r="B11" s="17">
        <v>149533.52000000002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BD469-3181-4BE9-AECC-51C6AC76AEC0}">
  <sheetPr>
    <tabColor rgb="FFFF0000"/>
  </sheetPr>
  <dimension ref="A1:O33"/>
  <sheetViews>
    <sheetView topLeftCell="A9" zoomScaleNormal="100" workbookViewId="0">
      <selection activeCell="B3" sqref="B3"/>
    </sheetView>
  </sheetViews>
  <sheetFormatPr defaultColWidth="15.28515625" defaultRowHeight="15"/>
  <cols>
    <col min="1" max="16384" width="15.28515625" style="21"/>
  </cols>
  <sheetData>
    <row r="1" spans="1:15" s="18" customFormat="1">
      <c r="B1" s="18" t="s">
        <v>82</v>
      </c>
      <c r="C1" s="18" t="s">
        <v>83</v>
      </c>
      <c r="D1" s="18" t="s">
        <v>84</v>
      </c>
      <c r="E1" s="18" t="s">
        <v>85</v>
      </c>
      <c r="F1" s="18" t="s">
        <v>86</v>
      </c>
      <c r="G1" s="18" t="s">
        <v>87</v>
      </c>
      <c r="H1" s="18" t="s">
        <v>88</v>
      </c>
      <c r="I1" s="18" t="s">
        <v>89</v>
      </c>
      <c r="J1" s="18" t="s">
        <v>90</v>
      </c>
      <c r="K1" s="18" t="s">
        <v>91</v>
      </c>
      <c r="L1" s="18" t="s">
        <v>92</v>
      </c>
      <c r="M1" s="18" t="s">
        <v>93</v>
      </c>
    </row>
    <row r="2" spans="1:15">
      <c r="A2" s="19" t="s">
        <v>77</v>
      </c>
      <c r="B2" s="20">
        <f>SUMIFS(Extrato[Valor (R$)], Extrato[Categoria de Gasto],$A2,Extrato[Nome do Mês],B$1)*-1</f>
        <v>4610</v>
      </c>
      <c r="C2" s="20">
        <f>SUMIFS(Extrato[Valor (R$)], Extrato[Categoria de Gasto],$A2,Extrato[Nome do Mês],C$1)*-1</f>
        <v>4680</v>
      </c>
      <c r="D2" s="20">
        <f>SUMIFS(Extrato[Valor (R$)], Extrato[Categoria de Gasto],$A2,Extrato[Nome do Mês],D$1)*-1</f>
        <v>4710</v>
      </c>
      <c r="E2" s="20">
        <f>SUMIFS(Extrato[Valor (R$)], Extrato[Categoria de Gasto],$A2,Extrato[Nome do Mês],E$1)*-1</f>
        <v>4410</v>
      </c>
      <c r="F2" s="20">
        <f>SUMIFS(Extrato[Valor (R$)], Extrato[Categoria de Gasto],$A2,Extrato[Nome do Mês],F$1)*-1</f>
        <v>4630</v>
      </c>
      <c r="G2" s="20">
        <f>SUMIFS(Extrato[Valor (R$)], Extrato[Categoria de Gasto],$A2,Extrato[Nome do Mês],G$1)*-1</f>
        <v>4730</v>
      </c>
      <c r="H2" s="20">
        <f>SUMIFS(Extrato[Valor (R$)], Extrato[Categoria de Gasto],$A2,Extrato[Nome do Mês],H$1)*-1</f>
        <v>5395</v>
      </c>
      <c r="I2" s="20">
        <f>SUMIFS(Extrato[Valor (R$)], Extrato[Categoria de Gasto],$A2,Extrato[Nome do Mês],I$1)*-1</f>
        <v>3300</v>
      </c>
      <c r="J2" s="20">
        <f>SUMIFS(Extrato[Valor (R$)], Extrato[Categoria de Gasto],$A2,Extrato[Nome do Mês],J$1)*-1</f>
        <v>0</v>
      </c>
      <c r="K2" s="20">
        <f>SUMIFS(Extrato[Valor (R$)], Extrato[Categoria de Gasto],$A2,Extrato[Nome do Mês],K$1)*-1</f>
        <v>0</v>
      </c>
      <c r="L2" s="20">
        <f>SUMIFS(Extrato[Valor (R$)], Extrato[Categoria de Gasto],$A2,Extrato[Nome do Mês],L$1)*-1</f>
        <v>0</v>
      </c>
      <c r="M2" s="20">
        <f>SUMIFS(Extrato[Valor (R$)], Extrato[Categoria de Gasto],$A2,Extrato[Nome do Mês],M$1)*-1</f>
        <v>0</v>
      </c>
      <c r="N2" s="20"/>
      <c r="O2" s="20"/>
    </row>
    <row r="3" spans="1:15">
      <c r="A3" s="19" t="s">
        <v>78</v>
      </c>
      <c r="B3" s="20">
        <f>SUMIFS(Extrato[Valor (R$)], Extrato[Categoria de Gasto],$A3,Extrato[Nome do Mês],B$1)*-1</f>
        <v>1684.9</v>
      </c>
      <c r="C3" s="20">
        <f>SUMIFS(Extrato[Valor (R$)], Extrato[Categoria de Gasto],$A3,Extrato[Nome do Mês],C$1)*-1</f>
        <v>1599.9</v>
      </c>
      <c r="D3" s="20">
        <f>SUMIFS(Extrato[Valor (R$)], Extrato[Categoria de Gasto],$A3,Extrato[Nome do Mês],D$1)*-1</f>
        <v>1816.4</v>
      </c>
      <c r="E3" s="20">
        <f>SUMIFS(Extrato[Valor (R$)], Extrato[Categoria de Gasto],$A3,Extrato[Nome do Mês],E$1)*-1</f>
        <v>1905.1000000000001</v>
      </c>
      <c r="F3" s="20">
        <f>SUMIFS(Extrato[Valor (R$)], Extrato[Categoria de Gasto],$A3,Extrato[Nome do Mês],F$1)*-1</f>
        <v>1585.65</v>
      </c>
      <c r="G3" s="20">
        <f>SUMIFS(Extrato[Valor (R$)], Extrato[Categoria de Gasto],$A3,Extrato[Nome do Mês],G$1)*-1</f>
        <v>2173.0500000000002</v>
      </c>
      <c r="H3" s="20">
        <f>SUMIFS(Extrato[Valor (R$)], Extrato[Categoria de Gasto],$A3,Extrato[Nome do Mês],H$1)*-1</f>
        <v>1784.9</v>
      </c>
      <c r="I3" s="20">
        <f>SUMIFS(Extrato[Valor (R$)], Extrato[Categoria de Gasto],$A3,Extrato[Nome do Mês],I$1)*-1</f>
        <v>0</v>
      </c>
      <c r="J3" s="20">
        <f>SUMIFS(Extrato[Valor (R$)], Extrato[Categoria de Gasto],$A3,Extrato[Nome do Mês],J$1)*-1</f>
        <v>0</v>
      </c>
      <c r="K3" s="20">
        <f>SUMIFS(Extrato[Valor (R$)], Extrato[Categoria de Gasto],$A3,Extrato[Nome do Mês],K$1)*-1</f>
        <v>0</v>
      </c>
      <c r="L3" s="20">
        <f>SUMIFS(Extrato[Valor (R$)], Extrato[Categoria de Gasto],$A3,Extrato[Nome do Mês],L$1)*-1</f>
        <v>0</v>
      </c>
      <c r="M3" s="20">
        <f>SUMIFS(Extrato[Valor (R$)], Extrato[Categoria de Gasto],$A3,Extrato[Nome do Mês],M$1)*-1</f>
        <v>0</v>
      </c>
    </row>
    <row r="4" spans="1:15">
      <c r="A4" s="19" t="s">
        <v>80</v>
      </c>
      <c r="B4" s="20">
        <f>SUMIFS(Extrato[Valor (R$)],Extrato[Categoria de Gasto],$A4,Extrato[Nome do Mês],B$1)*-1</f>
        <v>9340.34</v>
      </c>
      <c r="C4" s="20">
        <f>SUMIFS(Extrato[Valor (R$)],Extrato[Categoria de Gasto],$A4,Extrato[Nome do Mês],C$1)*-1</f>
        <v>9340.34</v>
      </c>
      <c r="D4" s="20">
        <f>SUMIFS(Extrato[Valor (R$)],Extrato[Categoria de Gasto],$A4,Extrato[Nome do Mês],D$1)*-1</f>
        <v>9340.34</v>
      </c>
      <c r="E4" s="20">
        <f>SUMIFS(Extrato[Valor (R$)],Extrato[Categoria de Gasto],$A4,Extrato[Nome do Mês],E$1)*-1</f>
        <v>9340.34</v>
      </c>
      <c r="F4" s="20">
        <f>SUMIFS(Extrato[Valor (R$)],Extrato[Categoria de Gasto],$A4,Extrato[Nome do Mês],F$1)*-1</f>
        <v>9340.34</v>
      </c>
      <c r="G4" s="20">
        <f>SUMIFS(Extrato[Valor (R$)],Extrato[Categoria de Gasto],$A4,Extrato[Nome do Mês],G$1)*-1</f>
        <v>9340.34</v>
      </c>
      <c r="H4" s="20">
        <f>SUMIFS(Extrato[Valor (R$)],Extrato[Categoria de Gasto],$A4,Extrato[Nome do Mês],H$1)*-1</f>
        <v>9340.34</v>
      </c>
      <c r="I4" s="20">
        <f>SUMIFS(Extrato[Valor (R$)],Extrato[Categoria de Gasto],$A4,Extrato[Nome do Mês],I$1)*-1</f>
        <v>0</v>
      </c>
      <c r="J4" s="20">
        <f>SUMIFS(Extrato[Valor (R$)],Extrato[Categoria de Gasto],$A4,Extrato[Nome do Mês],J$1)*-1</f>
        <v>0</v>
      </c>
      <c r="K4" s="20">
        <f>SUMIFS(Extrato[Valor (R$)],Extrato[Categoria de Gasto],$A4,Extrato[Nome do Mês],K$1)*-1</f>
        <v>0</v>
      </c>
      <c r="L4" s="20">
        <f>SUMIFS(Extrato[Valor (R$)],Extrato[Categoria de Gasto],$A4,Extrato[Nome do Mês],L$1)*-1</f>
        <v>0</v>
      </c>
      <c r="M4" s="20">
        <f>SUMIFS(Extrato[Valor (R$)],Extrato[Categoria de Gasto],$A4,Extrato[Nome do Mês],M$1)*-1</f>
        <v>0</v>
      </c>
    </row>
    <row r="5" spans="1:15">
      <c r="A5" s="19" t="s">
        <v>81</v>
      </c>
      <c r="B5" s="20">
        <f>SUMIFS(Extrato[Valor (R$)],Extrato[Categoria de Gasto],$A5,Extrato[Nome do Mês],B$1)*-1</f>
        <v>2847.98</v>
      </c>
      <c r="C5" s="20">
        <f>SUMIFS(Extrato[Valor (R$)],Extrato[Categoria de Gasto],$A5,Extrato[Nome do Mês],C$1)*-1</f>
        <v>2847.98</v>
      </c>
      <c r="D5" s="20">
        <f>SUMIFS(Extrato[Valor (R$)],Extrato[Categoria de Gasto],$A5,Extrato[Nome do Mês],D$1)*-1</f>
        <v>2847.98</v>
      </c>
      <c r="E5" s="20">
        <f>SUMIFS(Extrato[Valor (R$)],Extrato[Categoria de Gasto],$A5,Extrato[Nome do Mês],E$1)*-1</f>
        <v>2847.98</v>
      </c>
      <c r="F5" s="20">
        <f>SUMIFS(Extrato[Valor (R$)],Extrato[Categoria de Gasto],$A5,Extrato[Nome do Mês],F$1)*-1</f>
        <v>2847.98</v>
      </c>
      <c r="G5" s="20">
        <f>SUMIFS(Extrato[Valor (R$)],Extrato[Categoria de Gasto],$A5,Extrato[Nome do Mês],G$1)*-1</f>
        <v>2847.98</v>
      </c>
      <c r="H5" s="20">
        <f>SUMIFS(Extrato[Valor (R$)],Extrato[Categoria de Gasto],$A5,Extrato[Nome do Mês],H$1)*-1</f>
        <v>2847.98</v>
      </c>
      <c r="I5" s="20">
        <f>SUMIFS(Extrato[Valor (R$)],Extrato[Categoria de Gasto],$A5,Extrato[Nome do Mês],I$1)*-1</f>
        <v>0</v>
      </c>
      <c r="J5" s="20">
        <f>SUMIFS(Extrato[Valor (R$)],Extrato[Categoria de Gasto],$A5,Extrato[Nome do Mês],J$1)*-1</f>
        <v>0</v>
      </c>
      <c r="K5" s="20">
        <f>SUMIFS(Extrato[Valor (R$)],Extrato[Categoria de Gasto],$A5,Extrato[Nome do Mês],K$1)*-1</f>
        <v>0</v>
      </c>
      <c r="L5" s="20">
        <f>SUMIFS(Extrato[Valor (R$)],Extrato[Categoria de Gasto],$A5,Extrato[Nome do Mês],L$1)*-1</f>
        <v>0</v>
      </c>
      <c r="M5" s="20">
        <f>SUMIFS(Extrato[Valor (R$)],Extrato[Categoria de Gasto],$A5,Extrato[Nome do Mês],M$1)*-1</f>
        <v>0</v>
      </c>
    </row>
    <row r="6" spans="1:15">
      <c r="A6" s="19" t="s">
        <v>79</v>
      </c>
      <c r="B6" s="20">
        <f>SUMIFS(Extrato[Valor (R$)],Extrato[Categoria de Gasto],$A6,Extrato[Nome do Mês],B$1)</f>
        <v>20327.5</v>
      </c>
      <c r="C6" s="20">
        <f>SUMIFS(Extrato[Valor (R$)],Extrato[Categoria de Gasto],$A6,Extrato[Nome do Mês],C$1)</f>
        <v>20671</v>
      </c>
      <c r="D6" s="20">
        <f>SUMIFS(Extrato[Valor (R$)],Extrato[Categoria de Gasto],$A6,Extrato[Nome do Mês],D$1)</f>
        <v>20985</v>
      </c>
      <c r="E6" s="20">
        <f>SUMIFS(Extrato[Valor (R$)],Extrato[Categoria de Gasto],$A6,Extrato[Nome do Mês],E$1)</f>
        <v>21150</v>
      </c>
      <c r="F6" s="20">
        <f>SUMIFS(Extrato[Valor (R$)],Extrato[Categoria de Gasto],$A6,Extrato[Nome do Mês],F$1)</f>
        <v>21800</v>
      </c>
      <c r="G6" s="20">
        <f>SUMIFS(Extrato[Valor (R$)],Extrato[Categoria de Gasto],$A6,Extrato[Nome do Mês],G$1)</f>
        <v>22100</v>
      </c>
      <c r="H6" s="20">
        <f>SUMIFS(Extrato[Valor (R$)],Extrato[Categoria de Gasto],$A6,Extrato[Nome do Mês],H$1)</f>
        <v>22500</v>
      </c>
      <c r="I6" s="20">
        <f>SUMIFS(Extrato[Valor (R$)],Extrato[Categoria de Gasto],$A6,Extrato[Nome do Mês],I$1)</f>
        <v>9800</v>
      </c>
      <c r="J6" s="20">
        <f>SUMIFS(Extrato[Valor (R$)],Extrato[Categoria de Gasto],$A6,Extrato[Nome do Mês],J$1)</f>
        <v>0</v>
      </c>
      <c r="K6" s="20">
        <f>SUMIFS(Extrato[Valor (R$)],Extrato[Categoria de Gasto],$A6,Extrato[Nome do Mês],K$1)</f>
        <v>0</v>
      </c>
      <c r="L6" s="20">
        <f>SUMIFS(Extrato[Valor (R$)],Extrato[Categoria de Gasto],$A6,Extrato[Nome do Mês],L$1)</f>
        <v>0</v>
      </c>
      <c r="M6" s="20">
        <f>SUMIFS(Extrato[Valor (R$)],Extrato[Categoria de Gasto],$A6,Extrato[Nome do Mês],M$1)</f>
        <v>0</v>
      </c>
    </row>
    <row r="7" spans="1:15" ht="30">
      <c r="A7" s="19" t="s">
        <v>95</v>
      </c>
      <c r="B7" s="20">
        <f>B6-B8</f>
        <v>16798.32</v>
      </c>
      <c r="C7" s="20">
        <f t="shared" ref="C7:M7" si="0">C6-C8</f>
        <v>16868.32</v>
      </c>
      <c r="D7" s="20">
        <f t="shared" si="0"/>
        <v>16898.32</v>
      </c>
      <c r="E7" s="20">
        <f t="shared" si="0"/>
        <v>16598.32</v>
      </c>
      <c r="F7" s="20">
        <f t="shared" si="0"/>
        <v>16818.32</v>
      </c>
      <c r="G7" s="20">
        <f t="shared" si="0"/>
        <v>16918.32</v>
      </c>
      <c r="H7" s="20">
        <f t="shared" si="0"/>
        <v>17583.32</v>
      </c>
      <c r="I7" s="20">
        <f t="shared" si="0"/>
        <v>3300</v>
      </c>
      <c r="J7" s="20">
        <f t="shared" si="0"/>
        <v>0</v>
      </c>
      <c r="K7" s="20">
        <f t="shared" si="0"/>
        <v>0</v>
      </c>
      <c r="L7" s="20">
        <f t="shared" si="0"/>
        <v>0</v>
      </c>
      <c r="M7" s="20">
        <f t="shared" si="0"/>
        <v>0</v>
      </c>
    </row>
    <row r="8" spans="1:15" ht="30">
      <c r="A8" s="19" t="s">
        <v>94</v>
      </c>
      <c r="B8" s="20">
        <f t="shared" ref="B8:M8" si="1">B6-SUM(B2,B4,B5)</f>
        <v>3529.1800000000003</v>
      </c>
      <c r="C8" s="20">
        <f t="shared" si="1"/>
        <v>3802.6800000000003</v>
      </c>
      <c r="D8" s="20">
        <f t="shared" si="1"/>
        <v>4086.6800000000003</v>
      </c>
      <c r="E8" s="20">
        <f t="shared" si="1"/>
        <v>4551.68</v>
      </c>
      <c r="F8" s="20">
        <f t="shared" si="1"/>
        <v>4981.68</v>
      </c>
      <c r="G8" s="20">
        <f t="shared" si="1"/>
        <v>5181.68</v>
      </c>
      <c r="H8" s="20">
        <f t="shared" si="1"/>
        <v>4916.68</v>
      </c>
      <c r="I8" s="20">
        <f t="shared" si="1"/>
        <v>6500</v>
      </c>
      <c r="J8" s="20">
        <f t="shared" si="1"/>
        <v>0</v>
      </c>
      <c r="K8" s="20">
        <f t="shared" si="1"/>
        <v>0</v>
      </c>
      <c r="L8" s="20">
        <f t="shared" si="1"/>
        <v>0</v>
      </c>
      <c r="M8" s="20">
        <f t="shared" si="1"/>
        <v>0</v>
      </c>
    </row>
    <row r="9" spans="1:1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1:1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1:1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1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</row>
    <row r="14" spans="1:1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spans="1: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1:1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3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</sheetData>
  <phoneticPr fontId="2" type="noConversion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49A3-2A6C-4040-A4C6-64155CF6305F}">
  <dimension ref="A1:B4"/>
  <sheetViews>
    <sheetView workbookViewId="0">
      <selection activeCell="N12" sqref="N12"/>
    </sheetView>
  </sheetViews>
  <sheetFormatPr defaultRowHeight="15"/>
  <cols>
    <col min="1" max="1" width="27" customWidth="1"/>
    <col min="2" max="2" width="14.28515625" customWidth="1"/>
  </cols>
  <sheetData>
    <row r="1" spans="1:2">
      <c r="A1" t="s">
        <v>101</v>
      </c>
      <c r="B1" s="36">
        <v>0.105</v>
      </c>
    </row>
    <row r="2" spans="1:2">
      <c r="A2" t="s">
        <v>103</v>
      </c>
      <c r="B2" s="36">
        <f>(Dashboard!AC4-Dashboard!AR4)/Dashboard!AC4</f>
        <v>0.20764751711155022</v>
      </c>
    </row>
    <row r="3" spans="1:2">
      <c r="A3" t="s">
        <v>104</v>
      </c>
      <c r="B3" s="38">
        <v>9.1000000000000004E-3</v>
      </c>
    </row>
    <row r="4" spans="1:2">
      <c r="A4" t="s">
        <v>102</v>
      </c>
      <c r="B4" s="37">
        <f>(1 + B2)^(1/7) - 1</f>
        <v>2.7319996997455798E-2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DB75-55FC-42A3-B880-A077FA4E5119}">
  <sheetPr>
    <tabColor theme="3"/>
  </sheetPr>
  <dimension ref="A1:BI43"/>
  <sheetViews>
    <sheetView showGridLines="0" showRowColHeaders="0" tabSelected="1" zoomScale="110" zoomScaleNormal="110" workbookViewId="0">
      <selection activeCell="J45" sqref="J45"/>
    </sheetView>
  </sheetViews>
  <sheetFormatPr defaultColWidth="2.28515625" defaultRowHeight="9" customHeight="1"/>
  <cols>
    <col min="1" max="57" width="2.85546875" customWidth="1"/>
  </cols>
  <sheetData>
    <row r="1" spans="1:57" ht="24" customHeight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</row>
    <row r="2" spans="1:57" ht="9" customHeigh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42" t="s">
        <v>105</v>
      </c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56"/>
      <c r="AA2" s="26"/>
      <c r="AB2" s="25"/>
      <c r="AC2" s="42" t="s">
        <v>99</v>
      </c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56"/>
      <c r="AP2" s="25"/>
      <c r="AQ2" s="25"/>
      <c r="AR2" s="42" t="s">
        <v>100</v>
      </c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56"/>
      <c r="BE2" s="25"/>
    </row>
    <row r="3" spans="1:57" ht="9" customHeight="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45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57"/>
      <c r="AA3" s="26"/>
      <c r="AB3" s="25"/>
      <c r="AC3" s="45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57"/>
      <c r="AP3" s="25"/>
      <c r="AQ3" s="25"/>
      <c r="AR3" s="45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57"/>
      <c r="BE3" s="25"/>
    </row>
    <row r="4" spans="1:57" ht="9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58">
        <f>AVERAGE('PF vs PJ'!B8:H8)</f>
        <v>4435.7514285714287</v>
      </c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60"/>
      <c r="AA4" s="27"/>
      <c r="AB4" s="25"/>
      <c r="AC4" s="64">
        <f>AVERAGE('PF vs PJ'!B6:H6)</f>
        <v>21361.928571428572</v>
      </c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6"/>
      <c r="AP4" s="25"/>
      <c r="AQ4" s="25"/>
      <c r="AR4" s="64">
        <f>AVERAGE('PF vs PJ'!B7:H7)</f>
        <v>16926.177142857145</v>
      </c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6"/>
      <c r="BE4" s="25"/>
    </row>
    <row r="5" spans="1:57" ht="9" customHeight="1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58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60"/>
      <c r="AA5" s="27"/>
      <c r="AB5" s="25"/>
      <c r="AC5" s="64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6"/>
      <c r="AP5" s="25"/>
      <c r="AQ5" s="25"/>
      <c r="AR5" s="64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6"/>
      <c r="BE5" s="25"/>
    </row>
    <row r="6" spans="1:57" ht="9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58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60"/>
      <c r="AA6" s="27"/>
      <c r="AB6" s="25"/>
      <c r="AC6" s="64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6"/>
      <c r="AP6" s="25"/>
      <c r="AQ6" s="25"/>
      <c r="AR6" s="64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6"/>
      <c r="BE6" s="25"/>
    </row>
    <row r="7" spans="1:57" ht="9" customHeight="1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58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60"/>
      <c r="AA7" s="27"/>
      <c r="AB7" s="25"/>
      <c r="AC7" s="64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6"/>
      <c r="AP7" s="25"/>
      <c r="AQ7" s="25"/>
      <c r="AR7" s="64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6"/>
      <c r="BE7" s="25"/>
    </row>
    <row r="8" spans="1:57" ht="9" customHeight="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61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3"/>
      <c r="AA8" s="27"/>
      <c r="AB8" s="25"/>
      <c r="AC8" s="67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9"/>
      <c r="AP8" s="25"/>
      <c r="AQ8" s="25"/>
      <c r="AR8" s="67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9"/>
      <c r="BE8" s="25"/>
    </row>
    <row r="9" spans="1:57" ht="9" customHeight="1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</row>
    <row r="10" spans="1:57" ht="3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</row>
    <row r="11" spans="1:57" ht="9" customHeight="1">
      <c r="A11" s="25"/>
      <c r="B11" s="25"/>
      <c r="C11" s="42" t="s">
        <v>96</v>
      </c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4"/>
      <c r="X11" s="26"/>
      <c r="Y11" s="48" t="s">
        <v>97</v>
      </c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50"/>
      <c r="BE11" s="26"/>
    </row>
    <row r="12" spans="1:57" ht="9" customHeight="1">
      <c r="A12" s="25"/>
      <c r="B12" s="25"/>
      <c r="C12" s="45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7"/>
      <c r="X12" s="26"/>
      <c r="Y12" s="51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3"/>
      <c r="BE12" s="26"/>
    </row>
    <row r="13" spans="1:57" ht="9" customHeight="1">
      <c r="A13" s="25"/>
      <c r="B13" s="25"/>
      <c r="C13" s="28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9"/>
      <c r="X13" s="28"/>
      <c r="Y13" s="28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9"/>
      <c r="BE13" s="25"/>
    </row>
    <row r="14" spans="1:57" ht="9" customHeight="1">
      <c r="A14" s="25"/>
      <c r="B14" s="25"/>
      <c r="C14" s="28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9"/>
      <c r="X14" s="28"/>
      <c r="Y14" s="28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9"/>
      <c r="BE14" s="25"/>
    </row>
    <row r="15" spans="1:57" ht="9" customHeight="1">
      <c r="A15" s="25"/>
      <c r="B15" s="25"/>
      <c r="C15" s="28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9"/>
      <c r="X15" s="28"/>
      <c r="Y15" s="28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9"/>
      <c r="BE15" s="25"/>
    </row>
    <row r="16" spans="1:57" ht="9" customHeight="1">
      <c r="A16" s="25"/>
      <c r="B16" s="25"/>
      <c r="C16" s="28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9"/>
      <c r="X16" s="28"/>
      <c r="Y16" s="28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9"/>
      <c r="BE16" s="25"/>
    </row>
    <row r="17" spans="1:61" ht="9" customHeight="1">
      <c r="A17" s="25"/>
      <c r="B17" s="25"/>
      <c r="C17" s="28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9"/>
      <c r="X17" s="28"/>
      <c r="Y17" s="28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9"/>
      <c r="BE17" s="25"/>
    </row>
    <row r="18" spans="1:61" ht="9" customHeight="1">
      <c r="A18" s="25"/>
      <c r="B18" s="25"/>
      <c r="C18" s="28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9"/>
      <c r="X18" s="28"/>
      <c r="Y18" s="28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9"/>
      <c r="BE18" s="25"/>
    </row>
    <row r="19" spans="1:61" ht="9" customHeight="1">
      <c r="A19" s="25"/>
      <c r="B19" s="25"/>
      <c r="C19" s="28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9"/>
      <c r="X19" s="28"/>
      <c r="Y19" s="28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9"/>
      <c r="BE19" s="25"/>
    </row>
    <row r="20" spans="1:61" ht="9" customHeight="1">
      <c r="A20" s="25"/>
      <c r="B20" s="25"/>
      <c r="C20" s="28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9"/>
      <c r="X20" s="28"/>
      <c r="Y20" s="28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9"/>
      <c r="BE20" s="25"/>
    </row>
    <row r="21" spans="1:61" ht="9" customHeight="1">
      <c r="A21" s="25"/>
      <c r="B21" s="25"/>
      <c r="C21" s="28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9"/>
      <c r="X21" s="28"/>
      <c r="Y21" s="28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9"/>
      <c r="BE21" s="25"/>
    </row>
    <row r="22" spans="1:61" ht="9" customHeight="1">
      <c r="A22" s="25"/>
      <c r="B22" s="25"/>
      <c r="C22" s="28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9"/>
      <c r="X22" s="28"/>
      <c r="Y22" s="28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9"/>
      <c r="BE22" s="25"/>
    </row>
    <row r="23" spans="1:61" ht="9" customHeight="1">
      <c r="A23" s="25"/>
      <c r="B23" s="25"/>
      <c r="C23" s="28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9"/>
      <c r="X23" s="28"/>
      <c r="Y23" s="28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9"/>
      <c r="BE23" s="25"/>
    </row>
    <row r="24" spans="1:61" ht="9" customHeight="1">
      <c r="A24" s="25"/>
      <c r="B24" s="25"/>
      <c r="C24" s="28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9"/>
      <c r="X24" s="28"/>
      <c r="Y24" s="28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9"/>
      <c r="BE24" s="25"/>
    </row>
    <row r="25" spans="1:61" ht="9" customHeight="1">
      <c r="A25" s="25"/>
      <c r="B25" s="25"/>
      <c r="C25" s="30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2"/>
      <c r="X25" s="28"/>
      <c r="Y25" s="30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2"/>
      <c r="BE25" s="25"/>
    </row>
    <row r="26" spans="1:61" ht="14.45" customHeight="1">
      <c r="A26" s="25"/>
      <c r="B26" s="25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</row>
    <row r="27" spans="1:61" ht="9" customHeight="1">
      <c r="A27" s="25"/>
      <c r="B27" s="25"/>
      <c r="C27" s="48" t="s">
        <v>98</v>
      </c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54"/>
      <c r="BE27" s="26"/>
    </row>
    <row r="28" spans="1:61" ht="9" customHeight="1">
      <c r="A28" s="25"/>
      <c r="B28" s="25"/>
      <c r="C28" s="51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5"/>
      <c r="BE28" s="26"/>
    </row>
    <row r="29" spans="1:61" ht="9" customHeight="1">
      <c r="A29" s="25"/>
      <c r="B29" s="25"/>
      <c r="C29" s="28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9"/>
      <c r="BE29" s="25"/>
    </row>
    <row r="30" spans="1:61" ht="9" customHeight="1">
      <c r="A30" s="25"/>
      <c r="B30" s="25"/>
      <c r="C30" s="28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9"/>
      <c r="BE30" s="25"/>
    </row>
    <row r="31" spans="1:61" ht="9" customHeight="1">
      <c r="A31" s="25"/>
      <c r="B31" s="25"/>
      <c r="C31" s="28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9"/>
      <c r="BE31" s="25"/>
    </row>
    <row r="32" spans="1:61" ht="9" customHeight="1">
      <c r="A32" s="25"/>
      <c r="B32" s="25"/>
      <c r="C32" s="28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5"/>
      <c r="BC32" s="25"/>
      <c r="BD32" s="34"/>
      <c r="BE32" s="26"/>
      <c r="BF32" s="23"/>
      <c r="BG32" s="23"/>
      <c r="BH32" s="23"/>
      <c r="BI32" s="23"/>
    </row>
    <row r="33" spans="1:61" ht="9" customHeight="1">
      <c r="A33" s="25"/>
      <c r="B33" s="25"/>
      <c r="C33" s="28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5"/>
      <c r="BC33" s="25"/>
      <c r="BD33" s="34"/>
      <c r="BE33" s="26"/>
      <c r="BF33" s="23"/>
      <c r="BG33" s="23"/>
      <c r="BH33" s="23"/>
      <c r="BI33" s="23"/>
    </row>
    <row r="34" spans="1:61" ht="9" customHeight="1">
      <c r="A34" s="25"/>
      <c r="B34" s="25"/>
      <c r="C34" s="28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7">
        <v>20000</v>
      </c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5"/>
      <c r="BC34" s="25"/>
      <c r="BD34" s="35">
        <v>10000</v>
      </c>
      <c r="BE34" s="27"/>
      <c r="BF34" s="24"/>
      <c r="BG34" s="24"/>
      <c r="BH34" s="24"/>
      <c r="BI34" s="24"/>
    </row>
    <row r="35" spans="1:61" ht="9" customHeight="1">
      <c r="A35" s="25"/>
      <c r="B35" s="25"/>
      <c r="C35" s="28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5"/>
      <c r="BC35" s="25"/>
      <c r="BD35" s="35"/>
      <c r="BE35" s="27"/>
      <c r="BF35" s="24"/>
      <c r="BG35" s="24"/>
      <c r="BH35" s="24"/>
      <c r="BI35" s="24"/>
    </row>
    <row r="36" spans="1:61" ht="9" customHeight="1">
      <c r="A36" s="25"/>
      <c r="B36" s="25"/>
      <c r="C36" s="28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5"/>
      <c r="BC36" s="25"/>
      <c r="BD36" s="35"/>
      <c r="BE36" s="27"/>
      <c r="BF36" s="24"/>
      <c r="BG36" s="24"/>
      <c r="BH36" s="24"/>
      <c r="BI36" s="24"/>
    </row>
    <row r="37" spans="1:61" ht="9" customHeight="1">
      <c r="A37" s="25"/>
      <c r="B37" s="25"/>
      <c r="C37" s="28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5"/>
      <c r="BC37" s="25"/>
      <c r="BD37" s="35"/>
      <c r="BE37" s="27"/>
      <c r="BF37" s="24"/>
      <c r="BG37" s="24"/>
      <c r="BH37" s="24"/>
      <c r="BI37" s="24"/>
    </row>
    <row r="38" spans="1:61" ht="9" customHeight="1">
      <c r="A38" s="25"/>
      <c r="B38" s="25"/>
      <c r="C38" s="28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5"/>
      <c r="BC38" s="25"/>
      <c r="BD38" s="35"/>
      <c r="BE38" s="27"/>
      <c r="BF38" s="24"/>
      <c r="BG38" s="24"/>
      <c r="BH38" s="24"/>
      <c r="BI38" s="24"/>
    </row>
    <row r="39" spans="1:61" ht="9" customHeight="1">
      <c r="A39" s="25"/>
      <c r="B39" s="25"/>
      <c r="C39" s="28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9"/>
      <c r="BE39" s="25"/>
    </row>
    <row r="40" spans="1:61" ht="9" customHeight="1">
      <c r="A40" s="25"/>
      <c r="B40" s="25"/>
      <c r="C40" s="28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9"/>
      <c r="BE40" s="25"/>
    </row>
    <row r="41" spans="1:61" ht="9" customHeight="1">
      <c r="A41" s="25"/>
      <c r="B41" s="25"/>
      <c r="C41" s="28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9"/>
      <c r="BE41" s="25"/>
    </row>
    <row r="42" spans="1:61" ht="9" customHeight="1">
      <c r="A42" s="25"/>
      <c r="B42" s="25"/>
      <c r="C42" s="30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2"/>
      <c r="BE42" s="25"/>
    </row>
    <row r="43" spans="1:61" ht="26.4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</row>
  </sheetData>
  <mergeCells count="9">
    <mergeCell ref="C11:W12"/>
    <mergeCell ref="Y11:BD12"/>
    <mergeCell ref="C27:BD28"/>
    <mergeCell ref="N2:Z3"/>
    <mergeCell ref="AC2:AO3"/>
    <mergeCell ref="AR2:BD3"/>
    <mergeCell ref="N4:Z8"/>
    <mergeCell ref="AC4:AO8"/>
    <mergeCell ref="AR4:BD8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69D4B193-575A-4045-ACDA-3CC44294CD7C}">
  <ds:schemaRefs/>
</ds:datastoreItem>
</file>

<file path=customXml/itemProps2.xml><?xml version="1.0" encoding="utf-8"?>
<ds:datastoreItem xmlns:ds="http://schemas.openxmlformats.org/officeDocument/2006/customXml" ds:itemID="{4A0C4C38-63FF-4952-BD24-EA7FEE73190B}">
  <ds:schemaRefs/>
</ds:datastoreItem>
</file>

<file path=customXml/itemProps3.xml><?xml version="1.0" encoding="utf-8"?>
<ds:datastoreItem xmlns:ds="http://schemas.openxmlformats.org/officeDocument/2006/customXml" ds:itemID="{920AF039-FB9B-4692-85B9-CC6C9BFA6337}">
  <ds:schemaRefs/>
</ds:datastoreItem>
</file>

<file path=customXml/itemProps4.xml><?xml version="1.0" encoding="utf-8"?>
<ds:datastoreItem xmlns:ds="http://schemas.openxmlformats.org/officeDocument/2006/customXml" ds:itemID="{BD440787-7641-4A4E-84E8-A4CB9687DEEC}">
  <ds:schemaRefs/>
</ds:datastoreItem>
</file>

<file path=customXml/itemProps5.xml><?xml version="1.0" encoding="utf-8"?>
<ds:datastoreItem xmlns:ds="http://schemas.openxmlformats.org/officeDocument/2006/customXml" ds:itemID="{32EC06FD-F5BF-43D4-99C6-C44832E0E678}">
  <ds:schemaRefs/>
</ds:datastoreItem>
</file>

<file path=customXml/itemProps6.xml><?xml version="1.0" encoding="utf-8"?>
<ds:datastoreItem xmlns:ds="http://schemas.openxmlformats.org/officeDocument/2006/customXml" ds:itemID="{97A5D801-69BF-4CA7-A4DC-EF9F275DA92A}">
  <ds:schemaRefs/>
</ds:datastoreItem>
</file>

<file path=customXml/itemProps7.xml><?xml version="1.0" encoding="utf-8"?>
<ds:datastoreItem xmlns:ds="http://schemas.openxmlformats.org/officeDocument/2006/customXml" ds:itemID="{69F10159-F1C4-45B0-B558-E1CD5214ABE6}">
  <ds:schemaRefs/>
</ds:datastoreItem>
</file>

<file path=customXml/itemProps8.xml><?xml version="1.0" encoding="utf-8"?>
<ds:datastoreItem xmlns:ds="http://schemas.openxmlformats.org/officeDocument/2006/customXml" ds:itemID="{92BD3B82-128E-4874-8005-633751792AC5}">
  <ds:schemaRefs/>
</ds:datastoreItem>
</file>

<file path=customXml/itemProps9.xml><?xml version="1.0" encoding="utf-8"?>
<ds:datastoreItem xmlns:ds="http://schemas.openxmlformats.org/officeDocument/2006/customXml" ds:itemID="{70FE6A29-B249-4006-9D0F-7826AECAC6EB}">
  <ds:schemaRefs/>
</ds:datastoreItem>
</file>

<file path=customXml/itemProps10.xml><?xml version="1.0" encoding="utf-8"?>
<ds:datastoreItem xmlns:ds="http://schemas.openxmlformats.org/officeDocument/2006/customXml" ds:itemID="{94D910CE-3F56-4BB5-8A43-3807777FCD1E}">
  <ds:schemaRefs/>
</ds:datastoreItem>
</file>

<file path=customXml/itemProps11.xml><?xml version="1.0" encoding="utf-8"?>
<ds:datastoreItem xmlns:ds="http://schemas.openxmlformats.org/officeDocument/2006/customXml" ds:itemID="{B6722D24-9893-417E-B1B7-AA7EB46F2B8E}">
  <ds:schemaRefs/>
</ds:datastoreItem>
</file>

<file path=customXml/itemProps12.xml><?xml version="1.0" encoding="utf-8"?>
<ds:datastoreItem xmlns:ds="http://schemas.openxmlformats.org/officeDocument/2006/customXml" ds:itemID="{506C58F8-2D10-4FB2-8653-986E0EBDDF2E}">
  <ds:schemaRefs/>
</ds:datastoreItem>
</file>

<file path=customXml/itemProps13.xml><?xml version="1.0" encoding="utf-8"?>
<ds:datastoreItem xmlns:ds="http://schemas.openxmlformats.org/officeDocument/2006/customXml" ds:itemID="{FCBB3F68-6725-4831-8AA0-2282CDA2D8DC}">
  <ds:schemaRefs/>
</ds:datastoreItem>
</file>

<file path=customXml/itemProps14.xml><?xml version="1.0" encoding="utf-8"?>
<ds:datastoreItem xmlns:ds="http://schemas.openxmlformats.org/officeDocument/2006/customXml" ds:itemID="{567D7A1C-4603-409A-8C77-838E41A93A7D}">
  <ds:schemaRefs/>
</ds:datastoreItem>
</file>

<file path=customXml/itemProps15.xml><?xml version="1.0" encoding="utf-8"?>
<ds:datastoreItem xmlns:ds="http://schemas.openxmlformats.org/officeDocument/2006/customXml" ds:itemID="{E30449FC-418E-4B33-8896-4D67342FFC8E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F0FA55D8-F3DC-4539-80E5-43C472A4366F}">
  <ds:schemaRefs/>
</ds:datastoreItem>
</file>

<file path=customXml/itemProps17.xml><?xml version="1.0" encoding="utf-8"?>
<ds:datastoreItem xmlns:ds="http://schemas.openxmlformats.org/officeDocument/2006/customXml" ds:itemID="{ECC8498B-EF29-42D5-97F0-D8071335034B}">
  <ds:schemaRefs/>
</ds:datastoreItem>
</file>

<file path=customXml/itemProps18.xml><?xml version="1.0" encoding="utf-8"?>
<ds:datastoreItem xmlns:ds="http://schemas.openxmlformats.org/officeDocument/2006/customXml" ds:itemID="{A5228B7D-7BC2-4D2B-A025-20D3E2A5239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TB_Salarios_Func</vt:lpstr>
      <vt:lpstr>Extrato</vt:lpstr>
      <vt:lpstr>Custo Funcionários</vt:lpstr>
      <vt:lpstr>Produtividade Funcionários</vt:lpstr>
      <vt:lpstr>Dinâmica Produt por Func</vt:lpstr>
      <vt:lpstr>PF vs PJ</vt:lpstr>
      <vt:lpstr>Dados Financeiros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Sabino</dc:creator>
  <cp:lastModifiedBy>Roberto Sabino</cp:lastModifiedBy>
  <dcterms:created xsi:type="dcterms:W3CDTF">2024-08-23T15:38:09Z</dcterms:created>
  <dcterms:modified xsi:type="dcterms:W3CDTF">2024-08-26T00:24:31Z</dcterms:modified>
</cp:coreProperties>
</file>